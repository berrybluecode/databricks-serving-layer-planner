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lanner" sheetId="2" r:id="rId6"/>
    <sheet state="visible" name="Engine" sheetId="3" r:id="rId7"/>
    <sheet state="visible" name="Tradeoff" sheetId="4" r:id="rId8"/>
    <sheet state="visible" name="QPM Estimator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tc={e0caeebe-af8c-4eba-852d-e48106722dcc}</author>
  </authors>
  <commentList>
    <comment authorId="0" xr:uid="{e0caeebe-af8c-4eba-852d-e48106722dcc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looks great, and should be the golden standard for sizing. It'd be amazing if we could derive sensible defaults for (1) inputs over time, based on collected monitoring. And I know we're very limited here, but one can dream.
</t>
      </text>
    </comment>
  </commentList>
</comments>
</file>

<file path=xl/sharedStrings.xml><?xml version="1.0" encoding="utf-8"?>
<sst xmlns="http://schemas.openxmlformats.org/spreadsheetml/2006/main" count="98" uniqueCount="96">
  <si>
    <t>Reservation_QPM</t>
  </si>
  <si>
    <t xml:space="preserve">README — Genie API QPM Planner
</t>
  </si>
  <si>
    <t>BucketMinutes</t>
  </si>
  <si>
    <t>%_queries_queued</t>
  </si>
  <si>
    <t>%_time_above_cap</t>
  </si>
  <si>
    <t>Avg_utilisation</t>
  </si>
  <si>
    <t>Bachar Wehbi Silviu Tofan Lydia Ray</t>
  </si>
  <si>
    <t>Weekdays per week</t>
  </si>
  <si>
    <t>Peak1 centre</t>
  </si>
  <si>
    <t>1. Purpose of This Tool
This planner helps you estimate the Queries Per Minute (QPM) capacity required to deliver a great user experience for Genie for API-driven applications.
Instead of relying on simple averages or rough heuristics, this model simulates your actual traffic patterns, including:
- Daily fluctuations (morning, afternoon, global peaks)
- Session length and interaction timing
- Query behaviour (fast, standard, slow)
- Weekend vs weekday usage
- Human-driven think-time between queries
The goal is to help you choose a QPM reservation that balances:
- Performance (minimizing queueing)
- Cost efficiency (avoiding over-provisioning)
- Real-world user behaviour</t>
  </si>
  <si>
    <t>2. Why This Matters
Genie and LLM-powered applications behave differently from classic BI dashboards:
- Users think, type, interpret, and iterate.
- Queries come in bursts, not evenly spaced.
- Interaction speed varies drastically between users.
- Peaks can come from multiple time zones or multiple departments.
Traditional spreadsheet formulas (average users, standard deviation) cannot capture this complexity.
This tool helps teams:
- Size QPM before adoption or rollout
- Identify when peaks exceed capacity
- Avoid user frustration caused by queueing
- Optimize cost by selecting a reservation that meets SLA needs
- Communicate QPM needs clearly to procurement or platform teams</t>
  </si>
  <si>
    <t>3. How the Model Works (High-Level)
This planner combines user-provided inputs with a daily traffic simulation to compute expected demand.
Phase 1 — Base traffic assumptions
You provide:
- Average + peak users per hour
- Session duration
- Number of peaks per day
- Peak width
- Weekend scaling
- Interaction behaviour (Fast / Standard / Slow)
From these, we compute:
- Average concurrent users
- Peak concurrent users
- Avg and Peak QPM per user
Phase 2 — Daily demand modelling
The model constructs a 24-hour demand curve:
- Gaussian peaks representing load spikes
- Evenly spaced peak centers
- Adjustable peak sharpness
- Separate weekday + weekend curves
This becomes the true demand profile that reflects real behaviour.
Phase 3 — Applying your QPM reservation
You enter the QPM reservation you want to test.
The model evaluates:
- Where demand exceeds capacity
- How many queries would queue
- What percentage of the day you’re over the cap
- Average utilisation of reserved capacity
This output directly drives SLA decisions.
Phase 4 — Tradeoff Curve (Reservation vs Queueing)
The tool simulates reservation levels from 0 → 200 QPM.
For each reservation level, it computes:
- % of total queries queued
- % of time demand exceeds reservation
- Average utilisation
This produces the Queueing vs QPM Reservation curve, which shows the optimal balance between:
- Cost (QPM purchased)
- Performance (user wait times)
This is the single most important visualization for decision-making.</t>
  </si>
  <si>
    <t>NOTE - talk about what happens during queues that are long term (e.g. 10+ minutes); can they make recommendations on non-peak hours based on usage
patterns that we see on usage over time</t>
  </si>
  <si>
    <t>Weekend days per week</t>
  </si>
  <si>
    <t>Peak2 centre</t>
  </si>
  <si>
    <t>Weeks per month</t>
  </si>
  <si>
    <t>Peak3 centre</t>
  </si>
  <si>
    <t>QPM cap (from Planner)</t>
  </si>
  <si>
    <t>SigmaHours</t>
  </si>
  <si>
    <t>Weekdays in month</t>
  </si>
  <si>
    <t>Weekend days in month</t>
  </si>
  <si>
    <t>Overflow tolerance (info only)</t>
  </si>
  <si>
    <t>shape_avg</t>
  </si>
  <si>
    <t>shape_max</t>
  </si>
  <si>
    <t>TimeFrac</t>
  </si>
  <si>
    <t>TimeOfDay</t>
  </si>
  <si>
    <t>Shape</t>
  </si>
  <si>
    <t>Weekday QPM</t>
  </si>
  <si>
    <t>Weekend QPM</t>
  </si>
  <si>
    <t>Reservation QPM</t>
  </si>
  <si>
    <t>b_scale</t>
  </si>
  <si>
    <t>a_offset</t>
  </si>
  <si>
    <t>Input Data (per Hour)</t>
  </si>
  <si>
    <t>Peak Hour Usage Stats</t>
  </si>
  <si>
    <t>Average Number of Users</t>
  </si>
  <si>
    <t>Weekday total queries</t>
  </si>
  <si>
    <t>Max Number of Users</t>
  </si>
  <si>
    <t>Average Number of Interactions (page Views in BI)</t>
  </si>
  <si>
    <t>Max Number of Interactions (Page views in BI)</t>
  </si>
  <si>
    <t>Average visit time duration (in minutes)</t>
  </si>
  <si>
    <t>Adoption Rate (%)</t>
  </si>
  <si>
    <t>SLA Guarantees (%)</t>
  </si>
  <si>
    <t>Per Minute Concurrent Users Stats</t>
  </si>
  <si>
    <t>Average number of concurrent users</t>
  </si>
  <si>
    <t>Standard Deviation of Users per Hour</t>
  </si>
  <si>
    <t>Weekend total queries</t>
  </si>
  <si>
    <t>Standard Deviation of Users per minute</t>
  </si>
  <si>
    <t>Per minute max concurrent users at given SLA</t>
  </si>
  <si>
    <t>User Input to change</t>
  </si>
  <si>
    <t>Calculated field, do not change</t>
  </si>
  <si>
    <t>QPM Estimation Scenarios</t>
  </si>
  <si>
    <t>QPM Estimation, do not change</t>
  </si>
  <si>
    <t>Interaction speed with Genie is impacted by 3 factors:
* Input latency: nb of seconds it takes to formalise a question
* Genie Latency: nb of seconds it takes to answer a user question
* Analysis latency: nb of seconds it takes to analyse Genie's resulta before eventually asking a follow-up question</t>
  </si>
  <si>
    <t>Scenari</t>
  </si>
  <si>
    <t>Interaction time in seconds</t>
  </si>
  <si>
    <t>QPM Estimation</t>
  </si>
  <si>
    <t>Example of BI traffic with global presence and 3 main hubs: Europe, East US and India</t>
  </si>
  <si>
    <t>Fast - small questions, easy to interpret the results</t>
  </si>
  <si>
    <t>Standard</t>
  </si>
  <si>
    <t>Slow - Complex question, need time to interpret results</t>
  </si>
  <si>
    <t>Weekday time buckets above reservation</t>
  </si>
  <si>
    <t>Weekend time buckets above reservation</t>
  </si>
  <si>
    <t>Genie API QPM Planner</t>
  </si>
  <si>
    <t>User Input - Please Modify as Needed</t>
  </si>
  <si>
    <t>Calculations - Please Do NOT Change</t>
  </si>
  <si>
    <t>Resulting QPM / Utilisation Metrics - Please Do NOT Change</t>
  </si>
  <si>
    <r>
      <rPr>
        <rFont val="Calibri"/>
        <color theme="1"/>
        <sz val="14.0"/>
      </rPr>
      <t xml:space="preserve">Usage assumptions (per hour)
</t>
    </r>
    <r>
      <rPr>
        <rFont val="Calibri"/>
        <i/>
        <color theme="1"/>
        <sz val="11.0"/>
      </rPr>
      <t>Define how your users behave during an average and peak hour. These inputs shape the base demand before modelling the full day.</t>
    </r>
  </si>
  <si>
    <r>
      <rPr>
        <rFont val="Calibri"/>
        <color theme="1"/>
        <sz val="14.0"/>
      </rPr>
      <t xml:space="preserve">Derived metrics
</t>
    </r>
    <r>
      <rPr>
        <rFont val="Calibri"/>
        <i/>
        <color theme="1"/>
        <sz val="11.0"/>
      </rPr>
      <t>Calculated values that describe your expected demand profile.</t>
    </r>
  </si>
  <si>
    <r>
      <rPr>
        <rFont val="Calibri"/>
        <b/>
        <color theme="1"/>
        <sz val="11.0"/>
      </rPr>
      <t xml:space="preserve">Average users per active hour
</t>
    </r>
    <r>
      <rPr>
        <rFont val="Calibri"/>
        <i/>
        <color theme="1"/>
        <sz val="11.0"/>
      </rPr>
      <t>The typical number of users active in a non-peak hour. Used to estimate baseline API/Genie load.</t>
    </r>
  </si>
  <si>
    <r>
      <rPr>
        <rFont val="Calibri"/>
        <b/>
        <color theme="1"/>
        <sz val="11.0"/>
      </rPr>
      <t xml:space="preserve">Average concurrent users
</t>
    </r>
    <r>
      <rPr>
        <rFont val="Calibri"/>
        <i/>
        <color theme="1"/>
        <sz val="11.0"/>
      </rPr>
      <t>The estimated number of users simultaneously active at any given moment during a typical hour. Calculated from: (Average users per hour × Average session duration) / 60</t>
    </r>
  </si>
  <si>
    <r>
      <rPr>
        <rFont val="Calibri"/>
        <b/>
        <color theme="1"/>
        <sz val="11.0"/>
      </rPr>
      <t xml:space="preserve">Peak users in busiest hour
</t>
    </r>
    <r>
      <rPr>
        <rFont val="Calibri"/>
        <i/>
        <color theme="1"/>
        <sz val="11.0"/>
      </rPr>
      <t>The maximum number of users active in the busiest hour of the day (your highest concurrency). Determines peak QPM.</t>
    </r>
  </si>
  <si>
    <r>
      <rPr>
        <rFont val="Calibri"/>
        <b/>
        <color theme="1"/>
        <sz val="11.0"/>
      </rPr>
      <t xml:space="preserve">Peak concurrent users
</t>
    </r>
    <r>
      <rPr>
        <rFont val="Calibri"/>
        <i/>
        <color theme="1"/>
        <sz val="11.0"/>
      </rPr>
      <t>The maximum number of users simultaneously active during the busiest hour of the day. This determines your theoretical peak demand before scaling by interaction behaviour.</t>
    </r>
  </si>
  <si>
    <r>
      <rPr>
        <rFont val="Calibri"/>
        <b/>
        <color theme="1"/>
        <sz val="11.0"/>
      </rPr>
      <t xml:space="preserve">Average visit duration (minutes)
</t>
    </r>
    <r>
      <rPr>
        <rFont val="Calibri"/>
        <i/>
        <color theme="1"/>
        <sz val="11.0"/>
      </rPr>
      <t>How long a typical user session lasts. Longer sessions → more concurrent usage.</t>
    </r>
  </si>
  <si>
    <r>
      <rPr>
        <rFont val="Calibri"/>
        <b/>
        <color theme="1"/>
        <sz val="11.0"/>
      </rPr>
      <t xml:space="preserve">Adoption rate (%)
</t>
    </r>
    <r>
      <rPr>
        <rFont val="Calibri"/>
        <i/>
        <color theme="1"/>
        <sz val="11.0"/>
      </rPr>
      <t>The percentage of your total population that actually uses the system each hour. Helps scale down large user counts realistically.</t>
    </r>
  </si>
  <si>
    <r>
      <rPr>
        <rFont val="Calibri"/>
        <b/>
        <color theme="1"/>
        <sz val="11.0"/>
      </rPr>
      <t xml:space="preserve">Avg QPM (selected scenario)
</t>
    </r>
    <r>
      <rPr>
        <rFont val="Calibri"/>
        <i/>
        <color theme="1"/>
        <sz val="11.0"/>
      </rPr>
      <t>The average number of queries per minute generated during normal load based on your selected interaction style.</t>
    </r>
  </si>
  <si>
    <r>
      <rPr>
        <rFont val="Calibri"/>
        <b/>
        <color theme="1"/>
        <sz val="11.0"/>
      </rPr>
      <t xml:space="preserve">Number of peaks per weekday (1, 2, or 3 supported)
</t>
    </r>
    <r>
      <rPr>
        <rFont val="Calibri"/>
        <i/>
        <color theme="1"/>
        <sz val="11.0"/>
      </rPr>
      <t>How many traffic spikes your application has per day (e.g., 1 = midday; 2 = morning + afternoon; 3 = morning + noon + evening). Shapes the daily demand curve.</t>
    </r>
  </si>
  <si>
    <r>
      <rPr>
        <rFont val="Calibri"/>
        <b/>
        <color theme="1"/>
        <sz val="11.0"/>
      </rPr>
      <t xml:space="preserve">Peak QPM (selected scenario)
</t>
    </r>
    <r>
      <rPr>
        <rFont val="Calibri"/>
        <i/>
        <color theme="1"/>
        <sz val="11.0"/>
      </rPr>
      <t>The expected number of queries per minute during the busiest period of the day, reflecting both peak concurrency and interaction speed.</t>
    </r>
  </si>
  <si>
    <r>
      <rPr>
        <rFont val="Calibri"/>
        <b/>
        <color theme="1"/>
        <sz val="11.0"/>
      </rPr>
      <t xml:space="preserve">Peak width (hours)
</t>
    </r>
    <r>
      <rPr>
        <rFont val="Calibri"/>
        <i/>
        <color theme="1"/>
        <sz val="11.0"/>
      </rPr>
      <t>Controls how sharp or wide each peak is. Smaller values = sharper spikes. Larger values = broader, flatter peaks.</t>
    </r>
  </si>
  <si>
    <r>
      <rPr>
        <rFont val="Calibri"/>
        <color theme="1"/>
        <sz val="14.0"/>
      </rPr>
      <t xml:space="preserve">Interaction behaviour
</t>
    </r>
    <r>
      <rPr>
        <rFont val="Calibri"/>
        <i/>
        <color theme="1"/>
        <sz val="11.0"/>
      </rPr>
      <t>Control how quickly your users issue queries. Scenarios affect overall QPM load.</t>
    </r>
  </si>
  <si>
    <r>
      <rPr>
        <rFont val="Calibri"/>
        <color theme="1"/>
        <sz val="14.0"/>
      </rPr>
      <t xml:space="preserve">For chosen QPM reservation
</t>
    </r>
    <r>
      <rPr>
        <rFont val="Calibri"/>
        <color theme="1"/>
        <sz val="11.0"/>
      </rPr>
      <t>Shows how your selected reservation performs under your traffic model.</t>
    </r>
  </si>
  <si>
    <r>
      <rPr>
        <rFont val="Calibri"/>
        <b/>
        <color theme="1"/>
        <sz val="11.0"/>
      </rPr>
      <t xml:space="preserve">Chosen scenario
</t>
    </r>
    <r>
      <rPr>
        <rFont val="Calibri"/>
        <i/>
        <color theme="1"/>
        <sz val="11.0"/>
      </rPr>
      <t>Selects a predefined interaction style (Fast, Standard, Slow).</t>
    </r>
  </si>
  <si>
    <r>
      <rPr>
        <rFont val="Calibri"/>
        <b/>
        <color theme="1"/>
        <sz val="11.0"/>
      </rPr>
      <t xml:space="preserve">% queries queued
</t>
    </r>
    <r>
      <rPr>
        <rFont val="Calibri"/>
        <i/>
        <color theme="1"/>
        <sz val="11.0"/>
      </rPr>
      <t>The percentage of total daily queries that exceed your reserved QPM capacity and must wait (i.e., should be put in a queue).</t>
    </r>
  </si>
  <si>
    <r>
      <rPr>
        <rFont val="Calibri"/>
        <b/>
        <color theme="1"/>
        <sz val="11.0"/>
      </rPr>
      <t xml:space="preserve">Selected time per query (seconds)
</t>
    </r>
    <r>
      <rPr>
        <rFont val="Calibri"/>
        <i/>
        <color theme="1"/>
        <sz val="11.0"/>
      </rPr>
      <t>Automatically filled based on the chosen scenario.
Represents how long an average interaction takes → affects QPM.</t>
    </r>
  </si>
  <si>
    <r>
      <rPr>
        <rFont val="Calibri"/>
        <b/>
        <color theme="1"/>
        <sz val="11.0"/>
      </rPr>
      <t xml:space="preserve">% time above cap
</t>
    </r>
    <r>
      <rPr>
        <rFont val="Calibri"/>
        <i/>
        <color theme="1"/>
        <sz val="11.0"/>
      </rPr>
      <t>The percentage of the day during which demand exceeds your reserved QPM.</t>
    </r>
  </si>
  <si>
    <r>
      <rPr>
        <rFont val="Calibri"/>
        <b/>
        <color theme="1"/>
        <sz val="11.0"/>
      </rPr>
      <t xml:space="preserve">Average utilisation
</t>
    </r>
    <r>
      <rPr>
        <rFont val="Calibri"/>
        <i/>
        <color theme="1"/>
        <sz val="11.0"/>
      </rPr>
      <t>How much of your reserved QPM is actually used on average across the entire day (weekday + weekend).</t>
    </r>
  </si>
  <si>
    <r>
      <rPr>
        <rFont val="Calibri"/>
        <color theme="1"/>
        <sz val="14.0"/>
      </rPr>
      <t xml:space="preserve">Scenario
</t>
    </r>
    <r>
      <rPr>
        <rFont val="Calibri"/>
        <i/>
        <color theme="1"/>
        <sz val="11.0"/>
      </rPr>
      <t>A scenario represents how quickly your users interact with Genie/API. Specifically,
how many seconds it takes a user to submit a query, read the answer, and submit the next one.</t>
    </r>
  </si>
  <si>
    <t>Time per query (s)</t>
  </si>
  <si>
    <t>Avg QPM</t>
  </si>
  <si>
    <t>Peak QPM</t>
  </si>
  <si>
    <t>Fast</t>
  </si>
  <si>
    <t>Slow</t>
  </si>
  <si>
    <t>Weekend behaviour</t>
  </si>
  <si>
    <t>Weekend usage (% of weekday)</t>
  </si>
  <si>
    <t>SLA / business preference</t>
  </si>
  <si>
    <r>
      <rPr>
        <rFont val="Calibri"/>
        <b/>
        <color theme="1"/>
        <sz val="11.0"/>
      </rPr>
      <t xml:space="preserve">Target % of queries WITHOUT queuing
</t>
    </r>
    <r>
      <rPr>
        <rFont val="Calibri"/>
        <i/>
        <color theme="1"/>
        <sz val="11.0"/>
      </rPr>
      <t>Your desired SLA. Used only for guidance — not part of core calculations.</t>
    </r>
  </si>
  <si>
    <r>
      <rPr>
        <rFont val="Calibri"/>
        <b/>
        <color theme="1"/>
        <sz val="11.0"/>
      </rPr>
      <t xml:space="preserve">QPM reservation
</t>
    </r>
    <r>
      <rPr>
        <rFont val="Calibri"/>
        <b val="0"/>
        <i/>
        <color theme="1"/>
        <sz val="11.0"/>
      </rPr>
      <t>The QPM limit you plan to reserve/purchase.
All queueing, utilisation, and “time above cap” metrics are calculated using this value.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</si>
</sst>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color theme="1"/>
      <name val="Arial"/>
      <scheme val="minor"/>
    </font>
    <font>
      <sz val="17.0"/>
      <color theme="1"/>
      <name val="Arial"/>
      <scheme val="minor"/>
    </font>
    <font/>
    <font>
      <b/>
      <sz val="18.0"/>
      <color theme="1"/>
      <name val="Calibri"/>
    </font>
    <font>
      <sz val="14.0"/>
      <color theme="1"/>
      <name val="Calibri"/>
    </font>
    <font>
      <sz val="11.0"/>
      <color theme="1"/>
      <name val="Arial"/>
      <scheme val="minor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3" fillId="2" fontId="2" numFmtId="0" xfId="0" applyAlignment="1" applyBorder="1" applyFill="1" applyFont="1">
      <alignment readingOrder="0" shrinkToFit="0" wrapText="1"/>
    </xf>
    <xf borderId="3" fillId="2" fontId="2" numFmtId="10" xfId="0" applyAlignment="1" applyBorder="1" applyFill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shrinkToFit="0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5" fontId="1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8" numFmtId="0" xfId="0" applyFont="1"/>
    <xf borderId="0" fillId="0" fontId="1" numFmtId="0" xfId="0" applyAlignment="1" applyFont="1">
      <alignment readingOrder="0" shrinkToFit="0" vertical="bottom" wrapText="1"/>
    </xf>
    <xf borderId="0" fillId="5" fontId="1" numFmtId="0" xfId="0" applyAlignment="1" applyFill="1" applyFont="1">
      <alignment horizontal="right" readingOrder="0" shrinkToFit="0" vertical="bottom" wrapText="1"/>
    </xf>
    <xf borderId="0" fillId="6" fontId="1" numFmtId="4" xfId="0" applyAlignment="1" applyFill="1" applyFont="1" applyNumberFormat="1">
      <alignment horizontal="right" shrinkToFit="0" vertical="bottom" wrapText="1"/>
    </xf>
    <xf borderId="0" fillId="0" fontId="1" numFmtId="4" xfId="0" applyAlignment="1" applyFont="1" applyNumberFormat="1">
      <alignment shrinkToFit="0" vertical="bottom" wrapText="1"/>
    </xf>
    <xf borderId="0" fillId="5" fontId="1" numFmtId="10" xfId="0" applyAlignment="1" applyFill="1" applyFont="1" applyNumberFormat="1">
      <alignment horizontal="right" readingOrder="0" shrinkToFit="0" vertical="bottom" wrapText="1"/>
    </xf>
    <xf borderId="0" fillId="4" fontId="1" numFmtId="4" xfId="0" applyAlignment="1" applyFill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4" fontId="1" numFmtId="10" xfId="0" applyAlignment="1" applyFill="1" applyFont="1" applyNumberFormat="1">
      <alignment horizontal="right" shrinkToFit="0" vertical="bottom" wrapText="1"/>
    </xf>
    <xf borderId="0" fillId="6" fontId="1" numFmtId="0" xfId="0" applyAlignment="1" applyFill="1" applyFont="1">
      <alignment horizontal="right" shrinkToFit="0" vertical="bottom" wrapText="1"/>
    </xf>
    <xf borderId="0" fillId="0" fontId="9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5" fontId="1" numFmtId="10" xfId="0" applyAlignment="1" applyFill="1" applyFont="1" applyNumberFormat="1">
      <alignment horizontal="right" shrinkToFit="0" vertical="bottom" wrapText="1"/>
    </xf>
    <xf borderId="0" fillId="0" fontId="1" numFmtId="10" xfId="0" applyAlignment="1" applyFont="1" applyNumberFormat="1">
      <alignment shrinkToFit="0" vertical="bottom" wrapText="1"/>
    </xf>
    <xf borderId="0" fillId="0" fontId="9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QPM Load Profile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Weekday QPM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Engine!$B$12:$B$106</c:f>
            </c:strRef>
          </c:cat>
          <c:val>
            <c:numRef>
              <c:f>Engine!$D$12:$D$106</c:f>
              <c:numCache/>
            </c:numRef>
          </c:val>
          <c:smooth val="0"/>
        </c:ser>
        <c:ser>
          <c:idx val="1"/>
          <c:order val="1"/>
          <c:tx>
            <c:v>Weekend QPM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Engine!$B$12:$B$106</c:f>
            </c:strRef>
          </c:cat>
          <c:val>
            <c:numRef>
              <c:f>Engine!$E$12:$E$106</c:f>
              <c:numCache/>
            </c:numRef>
          </c:val>
          <c:smooth val="0"/>
        </c:ser>
        <c:ser>
          <c:idx val="2"/>
          <c:order val="2"/>
          <c:tx>
            <c:v>Reservation</c:v>
          </c:tx>
          <c:spPr>
            <a:ln cmpd="sng">
              <a:solidFill>
                <a:schemeClr val="accent3"/>
              </a:solidFill>
              <a:prstDash val="lgDash"/>
            </a:ln>
          </c:spPr>
          <c:marker>
            <c:symbol val="none"/>
          </c:marker>
          <c:cat>
            <c:strRef>
              <c:f>Engine!$B$12:$B$106</c:f>
            </c:strRef>
          </c:cat>
          <c:val>
            <c:numRef>
              <c:f>Engine!$F$12:$F$106</c:f>
              <c:numCache/>
            </c:numRef>
          </c:val>
          <c:smooth val="0"/>
        </c:ser>
        <c:axId val="334512768"/>
        <c:axId val="1070986357"/>
      </c:lineChart>
      <c:catAx>
        <c:axId val="33451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h&quot;:&quot;mm&quot; &quot;am/p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0986357"/>
      </c:catAx>
      <c:valAx>
        <c:axId val="1070986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Queries per Minute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512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Queueing vs QPM Reservation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% of Queries Queued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Tradeoff!$A$2:$A$22</c:f>
            </c:strRef>
          </c:cat>
          <c:val>
            <c:numRef>
              <c:f>Tradeoff!$B$2:$B$22</c:f>
              <c:numCache/>
            </c:numRef>
          </c:val>
          <c:smooth val="0"/>
        </c:ser>
        <c:ser>
          <c:idx val="1"/>
          <c:order val="1"/>
          <c:tx>
            <c:v>% of Time above Cap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Tradeoff!$A$2:$A$22</c:f>
            </c:strRef>
          </c:cat>
          <c:val>
            <c:numRef>
              <c:f>Tradeoff!$C$2:$C$22</c:f>
              <c:numCache/>
            </c:numRef>
          </c:val>
          <c:smooth val="0"/>
        </c:ser>
        <c:axId val="1386216882"/>
        <c:axId val="813432957"/>
      </c:lineChart>
      <c:catAx>
        <c:axId val="1386216882"/>
        <c:scaling>
          <c:orientation val="minMax"/>
          <c:max val="1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QPM Reservation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432957"/>
      </c:catAx>
      <c:valAx>
        <c:axId val="813432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216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6</xdr:row>
      <xdr:rowOff>0</xdr:rowOff>
    </xdr:from>
    <xdr:ext cx="6838950" cy="4229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13</xdr:row>
      <xdr:rowOff>133350</xdr:rowOff>
    </xdr:from>
    <xdr:ext cx="6838950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171450</xdr:rowOff>
    </xdr:from>
    <xdr:ext cx="4829175" cy="2409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19</xdr:row>
      <xdr:rowOff>314325</xdr:rowOff>
    </xdr:from>
    <xdr:ext cx="5686425" cy="1962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Roberto Bruno Martins" id="{ef39ae89-3f6c-4fa3-921b-25bb5de8032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6-01-13T10:18:29.00" personId="{ef39ae89-3f6c-4fa3-921b-25bb5de8032e}" id="{e0caeebe-af8c-4eba-852d-e48106722dcc}" done="0">
    <x18tc:text xml:space="preserve">This looks great, and should be the golden standard for sizing. It'd be amazing if we could derive sensible defaults for (1) inputs over time, based on collected monitoring. And I know we're very limited here, but one can dream.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bachar.wehbi@databricks.com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9.38"/>
  </cols>
  <sheetData>
    <row r="1">
      <c r="A1" s="2" t="s">
        <v>1</v>
      </c>
    </row>
    <row r="2">
      <c r="A2" s="4" t="s">
        <v>6</v>
      </c>
    </row>
    <row r="3">
      <c r="A3" s="2" t="s">
        <v>9</v>
      </c>
    </row>
    <row r="4">
      <c r="A4" s="2" t="s">
        <v>10</v>
      </c>
    </row>
    <row r="5">
      <c r="A5" s="2" t="s">
        <v>11</v>
      </c>
    </row>
    <row r="7">
      <c r="A7" s="2" t="s">
        <v>12</v>
      </c>
    </row>
  </sheetData>
  <hyperlinks>
    <hyperlink r:id="rId4" ref="A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14.63"/>
    <col customWidth="1" min="3" max="3" width="10.75"/>
    <col customWidth="1" min="4" max="4" width="35.38"/>
    <col customWidth="1" min="5" max="5" width="12.0"/>
    <col customWidth="1" min="6" max="6" width="23.13"/>
    <col customWidth="1" min="7" max="7" width="12.63"/>
    <col customWidth="1" min="8" max="26" width="7.63"/>
  </cols>
  <sheetData>
    <row r="1">
      <c r="A1" s="24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6" t="s">
        <v>63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7" t="s">
        <v>64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8" t="s">
        <v>65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9" t="s">
        <v>66</v>
      </c>
      <c r="B7" s="25"/>
      <c r="C7" s="25"/>
      <c r="D7" s="29" t="s">
        <v>67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30"/>
      <c r="Z7" s="30"/>
    </row>
    <row r="8">
      <c r="A8" s="31" t="s">
        <v>68</v>
      </c>
      <c r="B8" s="32">
        <v>10.0</v>
      </c>
      <c r="C8" s="25"/>
      <c r="D8" s="31" t="s">
        <v>69</v>
      </c>
      <c r="E8" s="33">
        <f>B8*B10*B11/60</f>
        <v>0.8333333333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30"/>
      <c r="Z8" s="30"/>
    </row>
    <row r="9">
      <c r="A9" s="31" t="s">
        <v>70</v>
      </c>
      <c r="B9" s="32">
        <v>50.0</v>
      </c>
      <c r="C9" s="25"/>
      <c r="D9" s="31" t="s">
        <v>71</v>
      </c>
      <c r="E9" s="33">
        <f>B9*B10*B11/60</f>
        <v>4.166666667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30"/>
      <c r="Z9" s="30"/>
    </row>
    <row r="10">
      <c r="A10" s="31" t="s">
        <v>72</v>
      </c>
      <c r="B10" s="32">
        <v>10.0</v>
      </c>
      <c r="C10" s="25"/>
      <c r="D10" s="25"/>
      <c r="E10" s="3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30"/>
      <c r="Z10" s="30"/>
    </row>
    <row r="11">
      <c r="A11" s="31" t="s">
        <v>73</v>
      </c>
      <c r="B11" s="35">
        <v>0.5</v>
      </c>
      <c r="C11" s="25"/>
      <c r="D11" s="31" t="s">
        <v>74</v>
      </c>
      <c r="E11" s="36">
        <f>E8*60/B17</f>
        <v>0.5555555556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30"/>
      <c r="Z11" s="30"/>
    </row>
    <row r="12">
      <c r="A12" s="31" t="s">
        <v>75</v>
      </c>
      <c r="B12" s="32">
        <v>2.0</v>
      </c>
      <c r="C12" s="25"/>
      <c r="D12" s="31" t="s">
        <v>76</v>
      </c>
      <c r="E12" s="36">
        <f>E9*60/B17</f>
        <v>2.777777778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30"/>
      <c r="Z12" s="30"/>
    </row>
    <row r="13">
      <c r="A13" s="31" t="s">
        <v>77</v>
      </c>
      <c r="B13" s="32">
        <v>3.0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30"/>
      <c r="Z13" s="30"/>
    </row>
    <row r="14">
      <c r="A14" s="25"/>
      <c r="B14" s="25"/>
      <c r="C14" s="37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9" t="s">
        <v>78</v>
      </c>
      <c r="B15" s="25"/>
      <c r="C15" s="37"/>
      <c r="D15" s="29" t="s">
        <v>79</v>
      </c>
      <c r="E15" s="25"/>
      <c r="F15" s="31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>
      <c r="A16" s="31" t="s">
        <v>80</v>
      </c>
      <c r="B16" s="26" t="s">
        <v>58</v>
      </c>
      <c r="C16" s="25"/>
      <c r="D16" s="31" t="s">
        <v>81</v>
      </c>
      <c r="E16" s="38">
        <f>Engine!C5</f>
        <v>0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>
      <c r="A17" s="31" t="s">
        <v>82</v>
      </c>
      <c r="B17" s="39">
        <f t="array" ref="B17">INDEX(B21:B23,MATCH(B16,A21:A23,0))</f>
        <v>90</v>
      </c>
      <c r="C17" s="25"/>
      <c r="D17" s="31" t="s">
        <v>83</v>
      </c>
      <c r="E17" s="38">
        <f>Engine!D5</f>
        <v>0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>
      <c r="A18" s="25"/>
      <c r="B18" s="25"/>
      <c r="C18" s="25"/>
      <c r="D18" s="31" t="s">
        <v>84</v>
      </c>
      <c r="E18" s="38">
        <f>Engine!E5</f>
        <v>0.07732466824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9" t="s">
        <v>85</v>
      </c>
      <c r="B20" s="40" t="s">
        <v>86</v>
      </c>
      <c r="C20" s="40" t="s">
        <v>87</v>
      </c>
      <c r="D20" s="40" t="s">
        <v>88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 t="s">
        <v>89</v>
      </c>
      <c r="B21" s="32">
        <v>45.0</v>
      </c>
      <c r="C21" s="33">
        <f>E8*60/B21</f>
        <v>1.111111111</v>
      </c>
      <c r="D21" s="33">
        <f>E9*60/B21</f>
        <v>5.555555556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 t="s">
        <v>58</v>
      </c>
      <c r="B22" s="32">
        <v>90.0</v>
      </c>
      <c r="C22" s="33">
        <f>E8*60/B22</f>
        <v>0.5555555556</v>
      </c>
      <c r="D22" s="33">
        <f>E9*60/B22</f>
        <v>2.777777778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 t="s">
        <v>90</v>
      </c>
      <c r="B23" s="32">
        <v>150.0</v>
      </c>
      <c r="C23" s="33">
        <f>E8*60/B23</f>
        <v>0.3333333333</v>
      </c>
      <c r="D23" s="33">
        <f>E9*60/B23</f>
        <v>1.666666667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1" t="s">
        <v>91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 t="s">
        <v>92</v>
      </c>
      <c r="B26" s="25"/>
      <c r="C26" s="42">
        <v>0.2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43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1" t="s">
        <v>93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31" t="s">
        <v>94</v>
      </c>
      <c r="B29" s="25"/>
      <c r="C29" s="35">
        <v>0.9999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37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44" t="s">
        <v>95</v>
      </c>
      <c r="B31" s="25"/>
      <c r="C31" s="32">
        <v>10.0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4.38"/>
    <col customWidth="1" min="3" max="3" width="20.0"/>
    <col customWidth="1" min="4" max="5" width="12.63"/>
    <col customWidth="1" min="6" max="6" width="7.63"/>
    <col customWidth="1" min="7" max="7" width="18.0"/>
    <col customWidth="1" min="8" max="8" width="17.75"/>
    <col customWidth="1" min="9" max="9" width="10.75"/>
    <col customWidth="1" min="10" max="27" width="7.63"/>
  </cols>
  <sheetData>
    <row r="1">
      <c r="A1" s="1" t="s">
        <v>2</v>
      </c>
      <c r="B1" s="3">
        <v>15.0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">
        <v>7</v>
      </c>
      <c r="B2" s="3">
        <v>5.0</v>
      </c>
      <c r="C2" s="1"/>
      <c r="D2" s="1"/>
      <c r="E2" s="1"/>
      <c r="F2" s="1"/>
      <c r="G2" s="1" t="s">
        <v>8</v>
      </c>
      <c r="H2" s="3">
        <f>1/(2*Planner!B12)</f>
        <v>0.25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13</v>
      </c>
      <c r="B3" s="3">
        <v>2.0</v>
      </c>
      <c r="C3" s="1"/>
      <c r="D3" s="1"/>
      <c r="E3" s="1"/>
      <c r="F3" s="1"/>
      <c r="G3" s="1" t="s">
        <v>14</v>
      </c>
      <c r="H3" s="3">
        <f>IF(Planner!B12&gt;=2,3/(2*Planner!B12),"")</f>
        <v>0.75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15</v>
      </c>
      <c r="B4" s="3">
        <v>4.0</v>
      </c>
      <c r="C4" s="1"/>
      <c r="D4" s="1"/>
      <c r="E4" s="1"/>
      <c r="F4" s="1"/>
      <c r="G4" s="1" t="s">
        <v>16</v>
      </c>
      <c r="H4" s="3" t="str">
        <f>IF(Planner!B12&gt;=3,5/(2*Planner!B12),"")</f>
        <v/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17</v>
      </c>
      <c r="B5" s="3">
        <f>Planner!C31</f>
        <v>10</v>
      </c>
      <c r="C5" s="3">
        <f>(SUMPRODUCT((D11:D106&gt;B5)*(D11:D106-B5))*$B$1*$B$6+SUMPRODUCT((E11:E106&gt;B5)*(E11:E106-B5))*$B$1*$B$7)/($H$15*$B$6+$H$16*$B$7)</f>
        <v>0</v>
      </c>
      <c r="D5" s="3">
        <f>(COUNTIF(D11:D106,"&gt;"&amp;B5)*$B$6+COUNTIF(E11:E106,"&gt;"&amp;B5)*$B$7)/(ROWS(D11:D106)*($B$6+$B$7))</f>
        <v>0</v>
      </c>
      <c r="E5" s="3">
        <f>(SUMPRODUCT((D11:D106&lt;=B5)*D11:D106 + (D11:D106&gt;B5)*B5)*$B$1*$B$6+SUMPRODUCT((E11:E106&lt;=B5)*E11:E106 + (E11:E106&gt;B5)*B5)*$B$1*$B$7)/(B5*60*24*($B$6+$B$7))</f>
        <v>0.07732466824</v>
      </c>
      <c r="F5" s="1"/>
      <c r="G5" s="1" t="s">
        <v>18</v>
      </c>
      <c r="H5" s="3">
        <f>Planner!B13</f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19</v>
      </c>
      <c r="B6" s="3">
        <f>B2*B4</f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20</v>
      </c>
      <c r="B7" s="3">
        <f>B3*B4</f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21</v>
      </c>
      <c r="B8" s="5">
        <f>1-Planner!C29</f>
        <v>0.0001</v>
      </c>
      <c r="C8" s="1"/>
      <c r="D8" s="1"/>
      <c r="E8" s="1"/>
      <c r="F8" s="1"/>
      <c r="G8" s="1" t="s">
        <v>22</v>
      </c>
      <c r="H8" s="3">
        <f>AVERAGE(C11:C106)</f>
        <v>1.954374769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 t="s">
        <v>23</v>
      </c>
      <c r="H9" s="3">
        <f>MAX(C11:C106)</f>
        <v>3.192608885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6" t="s">
        <v>29</v>
      </c>
      <c r="G10" s="1" t="s">
        <v>30</v>
      </c>
      <c r="H10" s="3">
        <f>(Planner!E12-Planner!E11)/(H9-H8)</f>
        <v>1.794670486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>
        <v>0.0</v>
      </c>
      <c r="B11" s="3">
        <f t="shared" ref="B11:B106" si="1">A11</f>
        <v>0</v>
      </c>
      <c r="C11" s="3">
        <f>_xlfn.NORM.DIST($A11,$H$2,$H$5/24,FALSE)+IF(Planner!B12&gt;=2,_xlfn.NORM.DIST($A11,$H$3,$H$5/24,FALSE),0)+IF(Planner!B12&gt;=3,_xlfn.NORM.DIST($A11,$H$4,$H$5/24,FALSE),0)</f>
        <v>0.4319277807</v>
      </c>
      <c r="D11" s="3">
        <f t="shared" ref="D11:D106" si="2">MAX(0,$H$11+$H$10*C11)</f>
        <v>0</v>
      </c>
      <c r="E11" s="3">
        <f>MAX(0,D11*Planner!C26)</f>
        <v>0</v>
      </c>
      <c r="F11" s="3">
        <f>Planner!C31</f>
        <v>10</v>
      </c>
      <c r="G11" s="1" t="s">
        <v>31</v>
      </c>
      <c r="H11" s="7">
        <f>Planner!E11-H10*H8</f>
        <v>-2.951903162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>
        <f t="shared" ref="A12:A106" si="3">A11+B$1/1440</f>
        <v>0.01041666667</v>
      </c>
      <c r="B12" s="3">
        <f t="shared" si="1"/>
        <v>0.01041666667</v>
      </c>
      <c r="C12" s="3">
        <f>_xlfn.NORM.DIST($A12,$H$2,$H$5/24,FALSE)+IF(Planner!B12&gt;=2,_xlfn.NORM.DIST($A12,$H$3,$H$5/24,FALSE),0)+IF(Planner!B12&gt;=3,_xlfn.NORM.DIST($A12,$H$4,$H$5/24,FALSE),0)</f>
        <v>0.508493732</v>
      </c>
      <c r="D12" s="3">
        <f t="shared" si="2"/>
        <v>0</v>
      </c>
      <c r="E12" s="3">
        <f>MAX(0,D12*Planner!C26)</f>
        <v>0</v>
      </c>
      <c r="F12" s="3">
        <f>Planner!C31</f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>
        <f t="shared" si="3"/>
        <v>0.02083333333</v>
      </c>
      <c r="B13" s="3">
        <f t="shared" si="1"/>
        <v>0.02083333333</v>
      </c>
      <c r="C13" s="3">
        <f>_xlfn.NORM.DIST($A13,$H$2,$H$5/24,FALSE)+IF(Planner!B12&gt;=2,_xlfn.NORM.DIST($A13,$H$3,$H$5/24,FALSE),0)+IF(Planner!B12&gt;=3,_xlfn.NORM.DIST($A13,$H$4,$H$5/24,FALSE),0)</f>
        <v>0.5944894388</v>
      </c>
      <c r="D13" s="3">
        <f t="shared" si="2"/>
        <v>0</v>
      </c>
      <c r="E13" s="3">
        <f>MAX(0,D13*Planner!C26)</f>
        <v>0</v>
      </c>
      <c r="F13" s="3">
        <f>Planner!C31</f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>
        <f t="shared" si="3"/>
        <v>0.03125</v>
      </c>
      <c r="B14" s="3">
        <f t="shared" si="1"/>
        <v>0.03125</v>
      </c>
      <c r="C14" s="3">
        <f>_xlfn.NORM.DIST($A14,$H$2,$H$5/24,FALSE)+IF(Planner!B12&gt;=2,_xlfn.NORM.DIST($A14,$H$3,$H$5/24,FALSE),0)+IF(Planner!B12&gt;=3,_xlfn.NORM.DIST($A14,$H$4,$H$5/24,FALSE),0)</f>
        <v>0.6902187618</v>
      </c>
      <c r="D14" s="3">
        <f t="shared" si="2"/>
        <v>0</v>
      </c>
      <c r="E14" s="3">
        <f>MAX(0,D14*Planner!C26)</f>
        <v>0</v>
      </c>
      <c r="F14" s="3">
        <f>Planner!C31</f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>
        <f t="shared" si="3"/>
        <v>0.04166666667</v>
      </c>
      <c r="B15" s="3">
        <f t="shared" si="1"/>
        <v>0.04166666667</v>
      </c>
      <c r="C15" s="3">
        <f>_xlfn.NORM.DIST($A15,$H$2,$H$5/24,FALSE)+IF(Planner!B12&gt;=2,_xlfn.NORM.DIST($A15,$H$3,$H$5/24,FALSE),0)+IF(Planner!B12&gt;=3,_xlfn.NORM.DIST($A15,$H$4,$H$5/24,FALSE),0)</f>
        <v>0.7958174501</v>
      </c>
      <c r="D15" s="3">
        <f t="shared" si="2"/>
        <v>0</v>
      </c>
      <c r="E15" s="3">
        <f>MAX(0,D15*Planner!C26)</f>
        <v>0</v>
      </c>
      <c r="F15" s="3">
        <f>Planner!C31</f>
        <v>10</v>
      </c>
      <c r="G15" s="1" t="s">
        <v>35</v>
      </c>
      <c r="H15" s="3">
        <f>SUM(D11:D106)*$B$1</f>
        <v>1443.393807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>
        <f t="shared" si="3"/>
        <v>0.05208333333</v>
      </c>
      <c r="B16" s="3">
        <f t="shared" si="1"/>
        <v>0.05208333333</v>
      </c>
      <c r="C16" s="3">
        <f>_xlfn.NORM.DIST($A16,$H$2,$H$5/24,FALSE)+IF(Planner!B12&gt;=2,_xlfn.NORM.DIST($A16,$H$3,$H$5/24,FALSE),0)+IF(Planner!B12&gt;=3,_xlfn.NORM.DIST($A16,$H$4,$H$5/24,FALSE),0)</f>
        <v>0.9112220959</v>
      </c>
      <c r="D16" s="3">
        <f t="shared" si="2"/>
        <v>0</v>
      </c>
      <c r="E16" s="3">
        <f>MAX(0,D16*Planner!C26)</f>
        <v>0</v>
      </c>
      <c r="F16" s="3">
        <f>Planner!C31</f>
        <v>10</v>
      </c>
      <c r="G16" s="1" t="s">
        <v>45</v>
      </c>
      <c r="H16" s="3">
        <f>SUM(E11:E106)*$B$1</f>
        <v>288.6787614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>
        <f t="shared" si="3"/>
        <v>0.0625</v>
      </c>
      <c r="B17" s="3">
        <f t="shared" si="1"/>
        <v>0.0625</v>
      </c>
      <c r="C17" s="3">
        <f>_xlfn.NORM.DIST($A17,$H$2,$H$5/24,FALSE)+IF(Planner!B12&gt;=2,_xlfn.NORM.DIST($A17,$H$3,$H$5/24,FALSE),0)+IF(Planner!B12&gt;=3,_xlfn.NORM.DIST($A17,$H$4,$H$5/24,FALSE),0)</f>
        <v>1.036141627</v>
      </c>
      <c r="D17" s="3">
        <f t="shared" si="2"/>
        <v>0</v>
      </c>
      <c r="E17" s="3">
        <f>MAX(0,D17*Planner!C26)</f>
        <v>0</v>
      </c>
      <c r="F17" s="3">
        <f>Planner!C31</f>
        <v>10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>
        <f t="shared" si="3"/>
        <v>0.07291666667</v>
      </c>
      <c r="B18" s="3">
        <f t="shared" si="1"/>
        <v>0.07291666667</v>
      </c>
      <c r="C18" s="3">
        <f>_xlfn.NORM.DIST($A18,$H$2,$H$5/24,FALSE)+IF(Planner!B12&gt;=2,_xlfn.NORM.DIST($A18,$H$3,$H$5/24,FALSE),0)+IF(Planner!B12&gt;=3,_xlfn.NORM.DIST($A18,$H$4,$H$5/24,FALSE),0)</f>
        <v>1.170032992</v>
      </c>
      <c r="D18" s="3">
        <f t="shared" si="2"/>
        <v>0</v>
      </c>
      <c r="E18" s="3">
        <f>MAX(0,D18*Planner!C26)</f>
        <v>0</v>
      </c>
      <c r="F18" s="3">
        <f>Planner!C31</f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>
        <f t="shared" si="3"/>
        <v>0.08333333333</v>
      </c>
      <c r="B19" s="3">
        <f t="shared" si="1"/>
        <v>0.08333333333</v>
      </c>
      <c r="C19" s="3">
        <f>_xlfn.NORM.DIST($A19,$H$2,$H$5/24,FALSE)+IF(Planner!B12&gt;=2,_xlfn.NORM.DIST($A19,$H$3,$H$5/24,FALSE),0)+IF(Planner!B12&gt;=3,_xlfn.NORM.DIST($A19,$H$4,$H$5/24,FALSE),0)</f>
        <v>1.312082722</v>
      </c>
      <c r="D19" s="3">
        <f t="shared" si="2"/>
        <v>0</v>
      </c>
      <c r="E19" s="3">
        <f>MAX(0,D19*Planner!C26)</f>
        <v>0</v>
      </c>
      <c r="F19" s="3">
        <f>Planner!C31</f>
        <v>10</v>
      </c>
      <c r="G19" s="23" t="s">
        <v>60</v>
      </c>
      <c r="H19" s="1"/>
      <c r="I19" s="23">
        <f>countif(D11:D106, "&gt;"&amp;B5)</f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>
        <f t="shared" si="3"/>
        <v>0.09375</v>
      </c>
      <c r="B20" s="3">
        <f t="shared" si="1"/>
        <v>0.09375</v>
      </c>
      <c r="C20" s="3">
        <f>_xlfn.NORM.DIST($A20,$H$2,$H$5/24,FALSE)+IF(Planner!B12&gt;=2,_xlfn.NORM.DIST($A20,$H$3,$H$5/24,FALSE),0)+IF(Planner!B12&gt;=3,_xlfn.NORM.DIST($A20,$H$4,$H$5/24,FALSE),0)</f>
        <v>1.461195986</v>
      </c>
      <c r="D20" s="3">
        <f t="shared" si="2"/>
        <v>0</v>
      </c>
      <c r="E20" s="3">
        <f>MAX(0,D20*Planner!C26)</f>
        <v>0</v>
      </c>
      <c r="F20" s="3">
        <f>Planner!C31</f>
        <v>10</v>
      </c>
      <c r="G20" s="23" t="s">
        <v>61</v>
      </c>
      <c r="H20" s="1"/>
      <c r="I20" s="1">
        <f>COUNTIF(E11:E106, "&gt;"&amp;B5)</f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>
        <f t="shared" si="3"/>
        <v>0.1041666667</v>
      </c>
      <c r="B21" s="3">
        <f t="shared" si="1"/>
        <v>0.1041666667</v>
      </c>
      <c r="C21" s="3">
        <f>_xlfn.NORM.DIST($A21,$H$2,$H$5/24,FALSE)+IF(Planner!B12&gt;=2,_xlfn.NORM.DIST($A21,$H$3,$H$5/24,FALSE),0)+IF(Planner!B12&gt;=3,_xlfn.NORM.DIST($A21,$H$4,$H$5/24,FALSE),0)</f>
        <v>1.615994582</v>
      </c>
      <c r="D21" s="3">
        <f t="shared" si="2"/>
        <v>0</v>
      </c>
      <c r="E21" s="3">
        <f>MAX(0,D21*Planner!C26)</f>
        <v>0</v>
      </c>
      <c r="F21" s="3">
        <f>Planner!C31</f>
        <v>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>
        <f t="shared" si="3"/>
        <v>0.1145833333</v>
      </c>
      <c r="B22" s="3">
        <f t="shared" si="1"/>
        <v>0.1145833333</v>
      </c>
      <c r="C22" s="3">
        <f>_xlfn.NORM.DIST($A22,$H$2,$H$5/24,FALSE)+IF(Planner!B12&gt;=2,_xlfn.NORM.DIST($A22,$H$3,$H$5/24,FALSE),0)+IF(Planner!B12&gt;=3,_xlfn.NORM.DIST($A22,$H$4,$H$5/24,FALSE),0)</f>
        <v>1.774825051</v>
      </c>
      <c r="D22" s="3">
        <f t="shared" si="2"/>
        <v>0.2333229755</v>
      </c>
      <c r="E22" s="3">
        <f>MAX(0,D22*Planner!C26)</f>
        <v>0.04666459511</v>
      </c>
      <c r="F22" s="3">
        <f>Planner!C31</f>
        <v>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>
        <f t="shared" si="3"/>
        <v>0.125</v>
      </c>
      <c r="B23" s="3">
        <f t="shared" si="1"/>
        <v>0.125</v>
      </c>
      <c r="C23" s="3">
        <f>_xlfn.NORM.DIST($A23,$H$2,$H$5/24,FALSE)+IF(Planner!B12&gt;=2,_xlfn.NORM.DIST($A23,$H$3,$H$5/24,FALSE),0)+IF(Planner!B12&gt;=3,_xlfn.NORM.DIST($A23,$H$4,$H$5/24,FALSE),0)</f>
        <v>1.93577769</v>
      </c>
      <c r="D23" s="3">
        <f t="shared" si="2"/>
        <v>0.5221799257</v>
      </c>
      <c r="E23" s="3">
        <f>MAX(0,D23*Planner!C26)</f>
        <v>0.1044359851</v>
      </c>
      <c r="F23" s="3">
        <f>Planner!C31</f>
        <v>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>
        <f t="shared" si="3"/>
        <v>0.1354166667</v>
      </c>
      <c r="B24" s="3">
        <f t="shared" si="1"/>
        <v>0.1354166667</v>
      </c>
      <c r="C24" s="3">
        <f>_xlfn.NORM.DIST($A24,$H$2,$H$5/24,FALSE)+IF(Planner!B12&gt;=2,_xlfn.NORM.DIST($A24,$H$3,$H$5/24,FALSE),0)+IF(Planner!B12&gt;=3,_xlfn.NORM.DIST($A24,$H$4,$H$5/24,FALSE),0)</f>
        <v>2.096716804</v>
      </c>
      <c r="D24" s="3">
        <f t="shared" si="2"/>
        <v>0.8110126033</v>
      </c>
      <c r="E24" s="3">
        <f>MAX(0,D24*Planner!C26)</f>
        <v>0.1622025207</v>
      </c>
      <c r="F24" s="3">
        <f>Planner!C31</f>
        <v>10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>
        <f t="shared" si="3"/>
        <v>0.1458333333</v>
      </c>
      <c r="B25" s="3">
        <f t="shared" si="1"/>
        <v>0.1458333333</v>
      </c>
      <c r="C25" s="3">
        <f>_xlfn.NORM.DIST($A25,$H$2,$H$5/24,FALSE)+IF(Planner!B12&gt;=2,_xlfn.NORM.DIST($A25,$H$3,$H$5/24,FALSE),0)+IF(Planner!B12&gt;=3,_xlfn.NORM.DIST($A25,$H$4,$H$5/24,FALSE),0)</f>
        <v>2.255321993</v>
      </c>
      <c r="D25" s="3">
        <f t="shared" si="2"/>
        <v>1.095656656</v>
      </c>
      <c r="E25" s="3">
        <f>MAX(0,D25*Planner!C26)</f>
        <v>0.2191313311</v>
      </c>
      <c r="F25" s="3">
        <f>Planner!C31</f>
        <v>10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>
        <f t="shared" si="3"/>
        <v>0.15625</v>
      </c>
      <c r="B26" s="3">
        <f t="shared" si="1"/>
        <v>0.15625</v>
      </c>
      <c r="C26" s="3">
        <f>_xlfn.NORM.DIST($A26,$H$2,$H$5/24,FALSE)+IF(Planner!B12&gt;=2,_xlfn.NORM.DIST($A26,$H$3,$H$5/24,FALSE),0)+IF(Planner!B12&gt;=3,_xlfn.NORM.DIST($A26,$H$4,$H$5/24,FALSE),0)</f>
        <v>2.409139693</v>
      </c>
      <c r="D26" s="3">
        <f t="shared" si="2"/>
        <v>1.371708743</v>
      </c>
      <c r="E26" s="3">
        <f>MAX(0,D26*Planner!C26)</f>
        <v>0.2743417485</v>
      </c>
      <c r="F26" s="3">
        <f>Planner!C31</f>
        <v>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>
        <f t="shared" si="3"/>
        <v>0.1666666667</v>
      </c>
      <c r="B27" s="3">
        <f t="shared" si="1"/>
        <v>0.1666666667</v>
      </c>
      <c r="C27" s="3">
        <f>_xlfn.NORM.DIST($A27,$H$2,$H$5/24,FALSE)+IF(Planner!B12&gt;=2,_xlfn.NORM.DIST($A27,$H$3,$H$5/24,FALSE),0)+IF(Planner!B12&gt;=3,_xlfn.NORM.DIST($A27,$H$4,$H$5/24,FALSE),0)</f>
        <v>2.555643613</v>
      </c>
      <c r="D27" s="3">
        <f t="shared" si="2"/>
        <v>1.634635003</v>
      </c>
      <c r="E27" s="3">
        <f>MAX(0,D27*Planner!C26)</f>
        <v>0.3269270005</v>
      </c>
      <c r="F27" s="3">
        <f>Planner!C31</f>
        <v>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>
        <f t="shared" si="3"/>
        <v>0.1770833333</v>
      </c>
      <c r="B28" s="3">
        <f t="shared" si="1"/>
        <v>0.1770833333</v>
      </c>
      <c r="C28" s="3">
        <f>_xlfn.NORM.DIST($A28,$H$2,$H$5/24,FALSE)+IF(Planner!B12&gt;=2,_xlfn.NORM.DIST($A28,$H$3,$H$5/24,FALSE),0)+IF(Planner!B12&gt;=3,_xlfn.NORM.DIST($A28,$H$4,$H$5/24,FALSE),0)</f>
        <v>2.692302161</v>
      </c>
      <c r="D28" s="3">
        <f t="shared" si="2"/>
        <v>1.879892066</v>
      </c>
      <c r="E28" s="3">
        <f>MAX(0,D28*Planner!C26)</f>
        <v>0.3759784132</v>
      </c>
      <c r="F28" s="3">
        <f>Planner!C31</f>
        <v>10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>
        <f t="shared" si="3"/>
        <v>0.1875</v>
      </c>
      <c r="B29" s="3">
        <f t="shared" si="1"/>
        <v>0.1875</v>
      </c>
      <c r="C29" s="3">
        <f>_xlfn.NORM.DIST($A29,$H$2,$H$5/24,FALSE)+IF(Planner!B12&gt;=2,_xlfn.NORM.DIST($A29,$H$3,$H$5/24,FALSE),0)+IF(Planner!B12&gt;=3,_xlfn.NORM.DIST($A29,$H$4,$H$5/24,FALSE),0)</f>
        <v>2.816650484</v>
      </c>
      <c r="D29" s="3">
        <f t="shared" si="2"/>
        <v>2.103056331</v>
      </c>
      <c r="E29" s="3">
        <f>MAX(0,D29*Planner!C26)</f>
        <v>0.4206112663</v>
      </c>
      <c r="F29" s="3">
        <f>Planner!C31</f>
        <v>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>
        <f t="shared" si="3"/>
        <v>0.1979166667</v>
      </c>
      <c r="B30" s="3">
        <f t="shared" si="1"/>
        <v>0.1979166667</v>
      </c>
      <c r="C30" s="3">
        <f>_xlfn.NORM.DIST($A30,$H$2,$H$5/24,FALSE)+IF(Planner!B12&gt;=2,_xlfn.NORM.DIST($A30,$H$3,$H$5/24,FALSE),0)+IF(Planner!B12&gt;=3,_xlfn.NORM.DIST($A30,$H$4,$H$5/24,FALSE),0)</f>
        <v>2.926364336</v>
      </c>
      <c r="D30" s="3">
        <f t="shared" si="2"/>
        <v>2.299956544</v>
      </c>
      <c r="E30" s="3">
        <f>MAX(0,D30*Planner!C26)</f>
        <v>0.4599913087</v>
      </c>
      <c r="F30" s="3">
        <f>Planner!C31</f>
        <v>10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>
        <f t="shared" si="3"/>
        <v>0.2083333333</v>
      </c>
      <c r="B31" s="3">
        <f t="shared" si="1"/>
        <v>0.2083333333</v>
      </c>
      <c r="C31" s="3">
        <f>_xlfn.NORM.DIST($A31,$H$2,$H$5/24,FALSE)+IF(Planner!B12&gt;=2,_xlfn.NORM.DIST($A31,$H$3,$H$5/24,FALSE),0)+IF(Planner!B12&gt;=3,_xlfn.NORM.DIST($A31,$H$4,$H$5/24,FALSE),0)</f>
        <v>3.019332788</v>
      </c>
      <c r="D31" s="3">
        <f t="shared" si="2"/>
        <v>2.466804281</v>
      </c>
      <c r="E31" s="3">
        <f>MAX(0,D31*Planner!C26)</f>
        <v>0.4933608563</v>
      </c>
      <c r="F31" s="3">
        <f>Planner!C31</f>
        <v>10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>
        <f t="shared" si="3"/>
        <v>0.21875</v>
      </c>
      <c r="B32" s="3">
        <f t="shared" si="1"/>
        <v>0.21875</v>
      </c>
      <c r="C32" s="3">
        <f>_xlfn.NORM.DIST($A32,$H$2,$H$5/24,FALSE)+IF(Planner!B12&gt;=2,_xlfn.NORM.DIST($A32,$H$3,$H$5/24,FALSE),0)+IF(Planner!B12&gt;=3,_xlfn.NORM.DIST($A32,$H$4,$H$5/24,FALSE),0)</f>
        <v>3.093726684</v>
      </c>
      <c r="D32" s="3">
        <f t="shared" si="2"/>
        <v>2.600316809</v>
      </c>
      <c r="E32" s="3">
        <f>MAX(0,D32*Planner!C26)</f>
        <v>0.5200633618</v>
      </c>
      <c r="F32" s="3">
        <f>Planner!C31</f>
        <v>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>
        <f t="shared" si="3"/>
        <v>0.2291666667</v>
      </c>
      <c r="B33" s="3">
        <f t="shared" si="1"/>
        <v>0.2291666667</v>
      </c>
      <c r="C33" s="3">
        <f>_xlfn.NORM.DIST($A33,$H$2,$H$5/24,FALSE)+IF(Planner!B12&gt;=2,_xlfn.NORM.DIST($A33,$H$3,$H$5/24,FALSE),0)+IF(Planner!B12&gt;=3,_xlfn.NORM.DIST($A33,$H$4,$H$5/24,FALSE),0)</f>
        <v>3.148059833</v>
      </c>
      <c r="D33" s="3">
        <f t="shared" si="2"/>
        <v>2.697826909</v>
      </c>
      <c r="E33" s="3">
        <f>MAX(0,D33*Planner!C26)</f>
        <v>0.5395653817</v>
      </c>
      <c r="F33" s="3">
        <f>Planner!C31</f>
        <v>10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>
        <f t="shared" si="3"/>
        <v>0.2395833333</v>
      </c>
      <c r="B34" s="3">
        <f t="shared" si="1"/>
        <v>0.2395833333</v>
      </c>
      <c r="C34" s="3">
        <f>_xlfn.NORM.DIST($A34,$H$2,$H$5/24,FALSE)+IF(Planner!B12&gt;=2,_xlfn.NORM.DIST($A34,$H$3,$H$5/24,FALSE),0)+IF(Planner!B12&gt;=3,_xlfn.NORM.DIST($A34,$H$4,$H$5/24,FALSE),0)</f>
        <v>3.181240219</v>
      </c>
      <c r="D34" s="3">
        <f t="shared" si="2"/>
        <v>2.757374769</v>
      </c>
      <c r="E34" s="3">
        <f>MAX(0,D34*Planner!C26)</f>
        <v>0.5514749538</v>
      </c>
      <c r="F34" s="3">
        <f>Planner!C31</f>
        <v>10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>
        <f t="shared" si="3"/>
        <v>0.25</v>
      </c>
      <c r="B35" s="3">
        <f t="shared" si="1"/>
        <v>0.25</v>
      </c>
      <c r="C35" s="3">
        <f>_xlfn.NORM.DIST($A35,$H$2,$H$5/24,FALSE)+IF(Planner!B12&gt;=2,_xlfn.NORM.DIST($A35,$H$3,$H$5/24,FALSE),0)+IF(Planner!B12&gt;=3,_xlfn.NORM.DIST($A35,$H$4,$H$5/24,FALSE),0)</f>
        <v>3.192608885</v>
      </c>
      <c r="D35" s="3">
        <f t="shared" si="2"/>
        <v>2.777777778</v>
      </c>
      <c r="E35" s="3">
        <f>MAX(0,D35*Planner!C26)</f>
        <v>0.5555555556</v>
      </c>
      <c r="F35" s="3">
        <f>Planner!C31</f>
        <v>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>
        <f t="shared" si="3"/>
        <v>0.2604166667</v>
      </c>
      <c r="B36" s="3">
        <f t="shared" si="1"/>
        <v>0.2604166667</v>
      </c>
      <c r="C36" s="3">
        <f>_xlfn.NORM.DIST($A36,$H$2,$H$5/24,FALSE)+IF(Planner!B12&gt;=2,_xlfn.NORM.DIST($A36,$H$3,$H$5/24,FALSE),0)+IF(Planner!B12&gt;=3,_xlfn.NORM.DIST($A36,$H$4,$H$5/24,FALSE),0)</f>
        <v>3.181964752</v>
      </c>
      <c r="D36" s="3">
        <f t="shared" si="2"/>
        <v>2.758675066</v>
      </c>
      <c r="E36" s="3">
        <f>MAX(0,D36*Planner!C26)</f>
        <v>0.5517350132</v>
      </c>
      <c r="F36" s="3">
        <f>Planner!C31</f>
        <v>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>
        <f t="shared" si="3"/>
        <v>0.2708333333</v>
      </c>
      <c r="B37" s="3">
        <f t="shared" si="1"/>
        <v>0.2708333333</v>
      </c>
      <c r="C37" s="3">
        <f>_xlfn.NORM.DIST($A37,$H$2,$H$5/24,FALSE)+IF(Planner!B12&gt;=2,_xlfn.NORM.DIST($A37,$H$3,$H$5/24,FALSE),0)+IF(Planner!B12&gt;=3,_xlfn.NORM.DIST($A37,$H$4,$H$5/24,FALSE),0)</f>
        <v>3.149574292</v>
      </c>
      <c r="D37" s="3">
        <f t="shared" si="2"/>
        <v>2.700544863</v>
      </c>
      <c r="E37" s="3">
        <f>MAX(0,D37*Planner!C26)</f>
        <v>0.5401089726</v>
      </c>
      <c r="F37" s="3">
        <f>Planner!C31</f>
        <v>10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>
        <f t="shared" si="3"/>
        <v>0.28125</v>
      </c>
      <c r="B38" s="3">
        <f t="shared" si="1"/>
        <v>0.28125</v>
      </c>
      <c r="C38" s="3">
        <f>_xlfn.NORM.DIST($A38,$H$2,$H$5/24,FALSE)+IF(Planner!B12&gt;=2,_xlfn.NORM.DIST($A38,$H$3,$H$5/24,FALSE),0)+IF(Planner!B12&gt;=3,_xlfn.NORM.DIST($A38,$H$4,$H$5/24,FALSE),0)</f>
        <v>3.0961657</v>
      </c>
      <c r="D38" s="3">
        <f t="shared" si="2"/>
        <v>2.60469404</v>
      </c>
      <c r="E38" s="3">
        <f>MAX(0,D38*Planner!C26)</f>
        <v>0.520938808</v>
      </c>
      <c r="F38" s="3">
        <f>Planner!C31</f>
        <v>10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>
        <f t="shared" si="3"/>
        <v>0.2916666667</v>
      </c>
      <c r="B39" s="3">
        <f t="shared" si="1"/>
        <v>0.2916666667</v>
      </c>
      <c r="C39" s="3">
        <f>_xlfn.NORM.DIST($A39,$H$2,$H$5/24,FALSE)+IF(Planner!B12&gt;=2,_xlfn.NORM.DIST($A39,$H$3,$H$5/24,FALSE),0)+IF(Planner!B12&gt;=3,_xlfn.NORM.DIST($A39,$H$4,$H$5/24,FALSE),0)</f>
        <v>3.022907987</v>
      </c>
      <c r="D39" s="3">
        <f t="shared" si="2"/>
        <v>2.473220584</v>
      </c>
      <c r="E39" s="3">
        <f>MAX(0,D39*Planner!C26)</f>
        <v>0.4946441168</v>
      </c>
      <c r="F39" s="3">
        <f>Planner!C31</f>
        <v>10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>
        <f t="shared" si="3"/>
        <v>0.3020833333</v>
      </c>
      <c r="B40" s="3">
        <f t="shared" si="1"/>
        <v>0.3020833333</v>
      </c>
      <c r="C40" s="3">
        <f>_xlfn.NORM.DIST($A40,$H$2,$H$5/24,FALSE)+IF(Planner!B12&gt;=2,_xlfn.NORM.DIST($A40,$H$3,$H$5/24,FALSE),0)+IF(Planner!B12&gt;=3,_xlfn.NORM.DIST($A40,$H$4,$H$5/24,FALSE),0)</f>
        <v>2.931376128</v>
      </c>
      <c r="D40" s="3">
        <f t="shared" si="2"/>
        <v>2.308951059</v>
      </c>
      <c r="E40" s="3">
        <f>MAX(0,D40*Planner!C26)</f>
        <v>0.4617902118</v>
      </c>
      <c r="F40" s="3">
        <f>Planner!C31</f>
        <v>10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>
        <f t="shared" si="3"/>
        <v>0.3125</v>
      </c>
      <c r="B41" s="3">
        <f t="shared" si="1"/>
        <v>0.3125</v>
      </c>
      <c r="C41" s="3">
        <f>_xlfn.NORM.DIST($A41,$H$2,$H$5/24,FALSE)+IF(Planner!B12&gt;=2,_xlfn.NORM.DIST($A41,$H$3,$H$5/24,FALSE),0)+IF(Planner!B12&gt;=3,_xlfn.NORM.DIST($A41,$H$4,$H$5/24,FALSE),0)</f>
        <v>2.823504076</v>
      </c>
      <c r="D41" s="3">
        <f t="shared" si="2"/>
        <v>2.11535627</v>
      </c>
      <c r="E41" s="3">
        <f>MAX(0,D41*Planner!C26)</f>
        <v>0.423071254</v>
      </c>
      <c r="F41" s="3">
        <f>Planner!C31</f>
        <v>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>
        <f t="shared" si="3"/>
        <v>0.3229166667</v>
      </c>
      <c r="B42" s="3">
        <f t="shared" si="1"/>
        <v>0.3229166667</v>
      </c>
      <c r="C42" s="3">
        <f>_xlfn.NORM.DIST($A42,$H$2,$H$5/24,FALSE)+IF(Planner!B12&gt;=2,_xlfn.NORM.DIST($A42,$H$3,$H$5/24,FALSE),0)+IF(Planner!B12&gt;=3,_xlfn.NORM.DIST($A42,$H$4,$H$5/24,FALSE),0)</f>
        <v>2.701527968</v>
      </c>
      <c r="D42" s="3">
        <f t="shared" si="2"/>
        <v>1.89644935</v>
      </c>
      <c r="E42" s="3">
        <f>MAX(0,D42*Planner!C26)</f>
        <v>0.37928987</v>
      </c>
      <c r="F42" s="3">
        <f>Planner!C31</f>
        <v>10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>
        <f t="shared" si="3"/>
        <v>0.3333333333</v>
      </c>
      <c r="B43" s="3">
        <f t="shared" si="1"/>
        <v>0.3333333333</v>
      </c>
      <c r="C43" s="3">
        <f>_xlfn.NORM.DIST($A43,$H$2,$H$5/24,FALSE)+IF(Planner!B12&gt;=2,_xlfn.NORM.DIST($A43,$H$3,$H$5/24,FALSE),0)+IF(Planner!B12&gt;=3,_xlfn.NORM.DIST($A43,$H$4,$H$5/24,FALSE),0)</f>
        <v>2.567922276</v>
      </c>
      <c r="D43" s="3">
        <f t="shared" si="2"/>
        <v>1.656671158</v>
      </c>
      <c r="E43" s="3">
        <f>MAX(0,D43*Planner!C26)</f>
        <v>0.3313342315</v>
      </c>
      <c r="F43" s="3">
        <f>Planner!C31</f>
        <v>10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>
        <f t="shared" si="3"/>
        <v>0.34375</v>
      </c>
      <c r="B44" s="3">
        <f t="shared" si="1"/>
        <v>0.34375</v>
      </c>
      <c r="C44" s="3">
        <f>_xlfn.NORM.DIST($A44,$H$2,$H$5/24,FALSE)+IF(Planner!B12&gt;=2,_xlfn.NORM.DIST($A44,$H$3,$H$5/24,FALSE),0)+IF(Planner!B12&gt;=3,_xlfn.NORM.DIST($A44,$H$4,$H$5/24,FALSE),0)</f>
        <v>2.425331842</v>
      </c>
      <c r="D44" s="3">
        <f t="shared" si="2"/>
        <v>1.400768313</v>
      </c>
      <c r="E44" s="3">
        <f>MAX(0,D44*Planner!C26)</f>
        <v>0.2801536627</v>
      </c>
      <c r="F44" s="3">
        <f>Planner!C31</f>
        <v>10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>
        <f t="shared" si="3"/>
        <v>0.3541666667</v>
      </c>
      <c r="B45" s="3">
        <f t="shared" si="1"/>
        <v>0.3541666667</v>
      </c>
      <c r="C45" s="3">
        <f>_xlfn.NORM.DIST($A45,$H$2,$H$5/24,FALSE)+IF(Planner!B12&gt;=2,_xlfn.NORM.DIST($A45,$H$3,$H$5/24,FALSE),0)+IF(Planner!B12&gt;=3,_xlfn.NORM.DIST($A45,$H$4,$H$5/24,FALSE),0)</f>
        <v>2.276502811</v>
      </c>
      <c r="D45" s="3">
        <f t="shared" si="2"/>
        <v>1.133669244</v>
      </c>
      <c r="E45" s="3">
        <f>MAX(0,D45*Planner!C26)</f>
        <v>0.2267338489</v>
      </c>
      <c r="F45" s="3">
        <f>Planner!C31</f>
        <v>10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>
        <f t="shared" si="3"/>
        <v>0.3645833333</v>
      </c>
      <c r="B46" s="3">
        <f t="shared" si="1"/>
        <v>0.3645833333</v>
      </c>
      <c r="C46" s="3">
        <f>_xlfn.NORM.DIST($A46,$H$2,$H$5/24,FALSE)+IF(Planner!B12&gt;=2,_xlfn.NORM.DIST($A46,$H$3,$H$5/24,FALSE),0)+IF(Planner!B12&gt;=3,_xlfn.NORM.DIST($A46,$H$4,$H$5/24,FALSE),0)</f>
        <v>2.124215331</v>
      </c>
      <c r="D46" s="3">
        <f t="shared" si="2"/>
        <v>0.8603633991</v>
      </c>
      <c r="E46" s="3">
        <f>MAX(0,D46*Planner!C26)</f>
        <v>0.1720726798</v>
      </c>
      <c r="F46" s="3">
        <f>Planner!C31</f>
        <v>10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>
        <f t="shared" si="3"/>
        <v>0.375</v>
      </c>
      <c r="B47" s="3">
        <f t="shared" si="1"/>
        <v>0.375</v>
      </c>
      <c r="C47" s="3">
        <f>_xlfn.NORM.DIST($A47,$H$2,$H$5/24,FALSE)+IF(Planner!B12&gt;=2,_xlfn.NORM.DIST($A47,$H$3,$H$5/24,FALSE),0)+IF(Planner!B12&gt;=3,_xlfn.NORM.DIST($A47,$H$4,$H$5/24,FALSE),0)</f>
        <v>1.971220583</v>
      </c>
      <c r="D47" s="3">
        <f t="shared" si="2"/>
        <v>0.5857882407</v>
      </c>
      <c r="E47" s="3">
        <f>MAX(0,D47*Planner!C26)</f>
        <v>0.1171576481</v>
      </c>
      <c r="F47" s="3">
        <f>Planner!C31</f>
        <v>10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>
        <f t="shared" si="3"/>
        <v>0.3854166667</v>
      </c>
      <c r="B48" s="3">
        <f t="shared" si="1"/>
        <v>0.3854166667</v>
      </c>
      <c r="C48" s="3">
        <f>_xlfn.NORM.DIST($A48,$H$2,$H$5/24,FALSE)+IF(Planner!B12&gt;=2,_xlfn.NORM.DIST($A48,$H$3,$H$5/24,FALSE),0)+IF(Planner!B12&gt;=3,_xlfn.NORM.DIST($A48,$H$4,$H$5/24,FALSE),0)</f>
        <v>1.820184287</v>
      </c>
      <c r="D48" s="3">
        <f t="shared" si="2"/>
        <v>0.3147278578</v>
      </c>
      <c r="E48" s="3">
        <f>MAX(0,D48*Planner!C26)</f>
        <v>0.06294557156</v>
      </c>
      <c r="F48" s="3">
        <f>Planner!C31</f>
        <v>10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>
        <f t="shared" si="3"/>
        <v>0.3958333333</v>
      </c>
      <c r="B49" s="3">
        <f t="shared" si="1"/>
        <v>0.3958333333</v>
      </c>
      <c r="C49" s="3">
        <f>_xlfn.NORM.DIST($A49,$H$2,$H$5/24,FALSE)+IF(Planner!B12&gt;=2,_xlfn.NORM.DIST($A49,$H$3,$H$5/24,FALSE),0)+IF(Planner!B12&gt;=3,_xlfn.NORM.DIST($A49,$H$4,$H$5/24,FALSE),0)</f>
        <v>1.673638283</v>
      </c>
      <c r="D49" s="3">
        <f t="shared" si="2"/>
        <v>0.05172606803</v>
      </c>
      <c r="E49" s="3">
        <f>MAX(0,D49*Planner!C26)</f>
        <v>0.01034521361</v>
      </c>
      <c r="F49" s="3">
        <f>Planner!C31</f>
        <v>10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>
        <f t="shared" si="3"/>
        <v>0.40625</v>
      </c>
      <c r="B50" s="3">
        <f t="shared" si="1"/>
        <v>0.40625</v>
      </c>
      <c r="C50" s="3">
        <f>_xlfn.NORM.DIST($A50,$H$2,$H$5/24,FALSE)+IF(Planner!B12&gt;=2,_xlfn.NORM.DIST($A50,$H$3,$H$5/24,FALSE),0)+IF(Planner!B12&gt;=3,_xlfn.NORM.DIST($A50,$H$4,$H$5/24,FALSE),0)</f>
        <v>1.533941183</v>
      </c>
      <c r="D50" s="3">
        <f t="shared" si="2"/>
        <v>0</v>
      </c>
      <c r="E50" s="3">
        <f>MAX(0,D50*Planner!C26)</f>
        <v>0</v>
      </c>
      <c r="F50" s="3">
        <f>Planner!C31</f>
        <v>10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>
        <f t="shared" si="3"/>
        <v>0.4166666667</v>
      </c>
      <c r="B51" s="3">
        <f t="shared" si="1"/>
        <v>0.4166666667</v>
      </c>
      <c r="C51" s="3">
        <f>_xlfn.NORM.DIST($A51,$H$2,$H$5/24,FALSE)+IF(Planner!B12&gt;=2,_xlfn.NORM.DIST($A51,$H$3,$H$5/24,FALSE),0)+IF(Planner!B12&gt;=3,_xlfn.NORM.DIST($A51,$H$4,$H$5/24,FALSE),0)</f>
        <v>1.403248486</v>
      </c>
      <c r="D51" s="3">
        <f t="shared" si="2"/>
        <v>0</v>
      </c>
      <c r="E51" s="3">
        <f>MAX(0,D51*Planner!C26)</f>
        <v>0</v>
      </c>
      <c r="F51" s="3">
        <f>Planner!C31</f>
        <v>10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>
        <f t="shared" si="3"/>
        <v>0.4270833333</v>
      </c>
      <c r="B52" s="3">
        <f t="shared" si="1"/>
        <v>0.4270833333</v>
      </c>
      <c r="C52" s="3">
        <f>_xlfn.NORM.DIST($A52,$H$2,$H$5/24,FALSE)+IF(Planner!B12&gt;=2,_xlfn.NORM.DIST($A52,$H$3,$H$5/24,FALSE),0)+IF(Planner!B12&gt;=3,_xlfn.NORM.DIST($A52,$H$4,$H$5/24,FALSE),0)</f>
        <v>1.283491904</v>
      </c>
      <c r="D52" s="3">
        <f t="shared" si="2"/>
        <v>0</v>
      </c>
      <c r="E52" s="3">
        <f>MAX(0,D52*Planner!C26)</f>
        <v>0</v>
      </c>
      <c r="F52" s="3">
        <f>Planner!C31</f>
        <v>10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>
        <f t="shared" si="3"/>
        <v>0.4375</v>
      </c>
      <c r="B53" s="3">
        <f t="shared" si="1"/>
        <v>0.4375</v>
      </c>
      <c r="C53" s="3">
        <f>_xlfn.NORM.DIST($A53,$H$2,$H$5/24,FALSE)+IF(Planner!B12&gt;=2,_xlfn.NORM.DIST($A53,$H$3,$H$5/24,FALSE),0)+IF(Planner!B12&gt;=3,_xlfn.NORM.DIST($A53,$H$4,$H$5/24,FALSE),0)</f>
        <v>1.176367169</v>
      </c>
      <c r="D53" s="3">
        <f t="shared" si="2"/>
        <v>0</v>
      </c>
      <c r="E53" s="3">
        <f>MAX(0,D53*Planner!C26)</f>
        <v>0</v>
      </c>
      <c r="F53" s="3">
        <f>Planner!C31</f>
        <v>10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>
        <f t="shared" si="3"/>
        <v>0.4479166667</v>
      </c>
      <c r="B54" s="3">
        <f t="shared" si="1"/>
        <v>0.4479166667</v>
      </c>
      <c r="C54" s="3">
        <f>_xlfn.NORM.DIST($A54,$H$2,$H$5/24,FALSE)+IF(Planner!B12&gt;=2,_xlfn.NORM.DIST($A54,$H$3,$H$5/24,FALSE),0)+IF(Planner!B12&gt;=3,_xlfn.NORM.DIST($A54,$H$4,$H$5/24,FALSE),0)</f>
        <v>1.083329073</v>
      </c>
      <c r="D54" s="3">
        <f t="shared" si="2"/>
        <v>0</v>
      </c>
      <c r="E54" s="3">
        <f>MAX(0,D54*Planner!C26)</f>
        <v>0</v>
      </c>
      <c r="F54" s="3">
        <f>Planner!C31</f>
        <v>10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>
        <f t="shared" si="3"/>
        <v>0.4583333333</v>
      </c>
      <c r="B55" s="3">
        <f t="shared" si="1"/>
        <v>0.4583333333</v>
      </c>
      <c r="C55" s="3">
        <f>_xlfn.NORM.DIST($A55,$H$2,$H$5/24,FALSE)+IF(Planner!B12&gt;=2,_xlfn.NORM.DIST($A55,$H$3,$H$5/24,FALSE),0)+IF(Planner!B12&gt;=3,_xlfn.NORM.DIST($A55,$H$4,$H$5/24,FALSE),0)</f>
        <v>1.005592223</v>
      </c>
      <c r="D55" s="3">
        <f t="shared" si="2"/>
        <v>0</v>
      </c>
      <c r="E55" s="3">
        <f>MAX(0,D55*Planner!C26)</f>
        <v>0</v>
      </c>
      <c r="F55" s="3">
        <f>Planner!C31</f>
        <v>10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>
        <f t="shared" si="3"/>
        <v>0.46875</v>
      </c>
      <c r="B56" s="3">
        <f t="shared" si="1"/>
        <v>0.46875</v>
      </c>
      <c r="C56" s="3">
        <f>_xlfn.NORM.DIST($A56,$H$2,$H$5/24,FALSE)+IF(Planner!B12&gt;=2,_xlfn.NORM.DIST($A56,$H$3,$H$5/24,FALSE),0)+IF(Planner!B12&gt;=3,_xlfn.NORM.DIST($A56,$H$4,$H$5/24,FALSE),0)</f>
        <v>0.9441357653</v>
      </c>
      <c r="D56" s="3">
        <f t="shared" si="2"/>
        <v>0</v>
      </c>
      <c r="E56" s="3">
        <f>MAX(0,D56*Planner!C26)</f>
        <v>0</v>
      </c>
      <c r="F56" s="3">
        <f>Planner!C31</f>
        <v>10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>
        <f t="shared" si="3"/>
        <v>0.4791666667</v>
      </c>
      <c r="B57" s="3">
        <f t="shared" si="1"/>
        <v>0.4791666667</v>
      </c>
      <c r="C57" s="3">
        <f>_xlfn.NORM.DIST($A57,$H$2,$H$5/24,FALSE)+IF(Planner!B12&gt;=2,_xlfn.NORM.DIST($A57,$H$3,$H$5/24,FALSE),0)+IF(Planner!B12&gt;=3,_xlfn.NORM.DIST($A57,$H$4,$H$5/24,FALSE),0)</f>
        <v>0.8997102965</v>
      </c>
      <c r="D57" s="3">
        <f t="shared" si="2"/>
        <v>0</v>
      </c>
      <c r="E57" s="3">
        <f>MAX(0,D57*Planner!C26)</f>
        <v>0</v>
      </c>
      <c r="F57" s="3">
        <f>Planner!C31</f>
        <v>10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>
        <f t="shared" si="3"/>
        <v>0.4895833333</v>
      </c>
      <c r="B58" s="3">
        <f t="shared" si="1"/>
        <v>0.4895833333</v>
      </c>
      <c r="C58" s="3">
        <f>_xlfn.NORM.DIST($A58,$H$2,$H$5/24,FALSE)+IF(Planner!B12&gt;=2,_xlfn.NORM.DIST($A58,$H$3,$H$5/24,FALSE),0)+IF(Planner!B12&gt;=3,_xlfn.NORM.DIST($A58,$H$4,$H$5/24,FALSE),0)</f>
        <v>0.8728452751</v>
      </c>
      <c r="D58" s="3">
        <f t="shared" si="2"/>
        <v>0</v>
      </c>
      <c r="E58" s="3">
        <f>MAX(0,D58*Planner!C26)</f>
        <v>0</v>
      </c>
      <c r="F58" s="3">
        <f>Planner!C31</f>
        <v>10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>
        <f t="shared" si="3"/>
        <v>0.5</v>
      </c>
      <c r="B59" s="3">
        <f t="shared" si="1"/>
        <v>0.5</v>
      </c>
      <c r="C59" s="3">
        <f>_xlfn.NORM.DIST($A59,$H$2,$H$5/24,FALSE)+IF(Planner!B12&gt;=2,_xlfn.NORM.DIST($A59,$H$3,$H$5/24,FALSE),0)+IF(Planner!B12&gt;=3,_xlfn.NORM.DIST($A59,$H$4,$H$5/24,FALSE),0)</f>
        <v>0.8638554642</v>
      </c>
      <c r="D59" s="3">
        <f t="shared" si="2"/>
        <v>0</v>
      </c>
      <c r="E59" s="3">
        <f>MAX(0,D59*Planner!C26)</f>
        <v>0</v>
      </c>
      <c r="F59" s="3">
        <f>Planner!C31</f>
        <v>10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>
        <f t="shared" si="3"/>
        <v>0.5104166667</v>
      </c>
      <c r="B60" s="3">
        <f t="shared" si="1"/>
        <v>0.5104166667</v>
      </c>
      <c r="C60" s="3">
        <f>_xlfn.NORM.DIST($A60,$H$2,$H$5/24,FALSE)+IF(Planner!B12&gt;=2,_xlfn.NORM.DIST($A60,$H$3,$H$5/24,FALSE),0)+IF(Planner!B12&gt;=3,_xlfn.NORM.DIST($A60,$H$4,$H$5/24,FALSE),0)</f>
        <v>0.8728452751</v>
      </c>
      <c r="D60" s="3">
        <f t="shared" si="2"/>
        <v>0</v>
      </c>
      <c r="E60" s="3">
        <f>MAX(0,D60*Planner!C26)</f>
        <v>0</v>
      </c>
      <c r="F60" s="3">
        <f>Planner!C31</f>
        <v>10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>
        <f t="shared" si="3"/>
        <v>0.5208333333</v>
      </c>
      <c r="B61" s="3">
        <f t="shared" si="1"/>
        <v>0.5208333333</v>
      </c>
      <c r="C61" s="3">
        <f>_xlfn.NORM.DIST($A61,$H$2,$H$5/24,FALSE)+IF(Planner!B12&gt;=2,_xlfn.NORM.DIST($A61,$H$3,$H$5/24,FALSE),0)+IF(Planner!B12&gt;=3,_xlfn.NORM.DIST($A61,$H$4,$H$5/24,FALSE),0)</f>
        <v>0.8997102965</v>
      </c>
      <c r="D61" s="3">
        <f t="shared" si="2"/>
        <v>0</v>
      </c>
      <c r="E61" s="3">
        <f>MAX(0,D61*Planner!C26)</f>
        <v>0</v>
      </c>
      <c r="F61" s="3">
        <f>Planner!C31</f>
        <v>10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>
        <f t="shared" si="3"/>
        <v>0.53125</v>
      </c>
      <c r="B62" s="3">
        <f t="shared" si="1"/>
        <v>0.53125</v>
      </c>
      <c r="C62" s="3">
        <f>_xlfn.NORM.DIST($A62,$H$2,$H$5/24,FALSE)+IF(Planner!B12&gt;=2,_xlfn.NORM.DIST($A62,$H$3,$H$5/24,FALSE),0)+IF(Planner!B12&gt;=3,_xlfn.NORM.DIST($A62,$H$4,$H$5/24,FALSE),0)</f>
        <v>0.9441357653</v>
      </c>
      <c r="D62" s="3">
        <f t="shared" si="2"/>
        <v>0</v>
      </c>
      <c r="E62" s="3">
        <f>MAX(0,D62*Planner!C26)</f>
        <v>0</v>
      </c>
      <c r="F62" s="3">
        <f>Planner!C31</f>
        <v>10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>
        <f t="shared" si="3"/>
        <v>0.5416666667</v>
      </c>
      <c r="B63" s="3">
        <f t="shared" si="1"/>
        <v>0.5416666667</v>
      </c>
      <c r="C63" s="3">
        <f>_xlfn.NORM.DIST($A63,$H$2,$H$5/24,FALSE)+IF(Planner!B12&gt;=2,_xlfn.NORM.DIST($A63,$H$3,$H$5/24,FALSE),0)+IF(Planner!B12&gt;=3,_xlfn.NORM.DIST($A63,$H$4,$H$5/24,FALSE),0)</f>
        <v>1.005592223</v>
      </c>
      <c r="D63" s="3">
        <f t="shared" si="2"/>
        <v>0</v>
      </c>
      <c r="E63" s="3">
        <f>MAX(0,D63*Planner!C26)</f>
        <v>0</v>
      </c>
      <c r="F63" s="3">
        <f>Planner!C31</f>
        <v>10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>
        <f t="shared" si="3"/>
        <v>0.5520833333</v>
      </c>
      <c r="B64" s="3">
        <f t="shared" si="1"/>
        <v>0.5520833333</v>
      </c>
      <c r="C64" s="3">
        <f>_xlfn.NORM.DIST($A64,$H$2,$H$5/24,FALSE)+IF(Planner!B12&gt;=2,_xlfn.NORM.DIST($A64,$H$3,$H$5/24,FALSE),0)+IF(Planner!B12&gt;=3,_xlfn.NORM.DIST($A64,$H$4,$H$5/24,FALSE),0)</f>
        <v>1.083329073</v>
      </c>
      <c r="D64" s="3">
        <f t="shared" si="2"/>
        <v>0</v>
      </c>
      <c r="E64" s="3">
        <f>MAX(0,D64*Planner!C26)</f>
        <v>0</v>
      </c>
      <c r="F64" s="3">
        <f>Planner!C31</f>
        <v>10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>
        <f t="shared" si="3"/>
        <v>0.5625</v>
      </c>
      <c r="B65" s="3">
        <f t="shared" si="1"/>
        <v>0.5625</v>
      </c>
      <c r="C65" s="3">
        <f>_xlfn.NORM.DIST($A65,$H$2,$H$5/24,FALSE)+IF(Planner!B12&gt;=2,_xlfn.NORM.DIST($A65,$H$3,$H$5/24,FALSE),0)+IF(Planner!B12&gt;=3,_xlfn.NORM.DIST($A65,$H$4,$H$5/24,FALSE),0)</f>
        <v>1.176367169</v>
      </c>
      <c r="D65" s="3">
        <f t="shared" si="2"/>
        <v>0</v>
      </c>
      <c r="E65" s="3">
        <f>MAX(0,D65*Planner!C26)</f>
        <v>0</v>
      </c>
      <c r="F65" s="3">
        <f>Planner!C31</f>
        <v>10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>
        <f t="shared" si="3"/>
        <v>0.5729166667</v>
      </c>
      <c r="B66" s="3">
        <f t="shared" si="1"/>
        <v>0.5729166667</v>
      </c>
      <c r="C66" s="3">
        <f>_xlfn.NORM.DIST($A66,$H$2,$H$5/24,FALSE)+IF(Planner!B12&gt;=2,_xlfn.NORM.DIST($A66,$H$3,$H$5/24,FALSE),0)+IF(Planner!B12&gt;=3,_xlfn.NORM.DIST($A66,$H$4,$H$5/24,FALSE),0)</f>
        <v>1.283491904</v>
      </c>
      <c r="D66" s="3">
        <f t="shared" si="2"/>
        <v>0</v>
      </c>
      <c r="E66" s="3">
        <f>MAX(0,D66*Planner!C26)</f>
        <v>0</v>
      </c>
      <c r="F66" s="3">
        <f>Planner!C31</f>
        <v>10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>
        <f t="shared" si="3"/>
        <v>0.5833333333</v>
      </c>
      <c r="B67" s="3">
        <f t="shared" si="1"/>
        <v>0.5833333333</v>
      </c>
      <c r="C67" s="3">
        <f>_xlfn.NORM.DIST($A67,$H$2,$H$5/24,FALSE)+IF(Planner!B12&gt;=2,_xlfn.NORM.DIST($A67,$H$3,$H$5/24,FALSE),0)+IF(Planner!B12&gt;=3,_xlfn.NORM.DIST($A67,$H$4,$H$5/24,FALSE),0)</f>
        <v>1.403248486</v>
      </c>
      <c r="D67" s="3">
        <f t="shared" si="2"/>
        <v>0</v>
      </c>
      <c r="E67" s="3">
        <f>MAX(0,D67*Planner!C26)</f>
        <v>0</v>
      </c>
      <c r="F67" s="3">
        <f>Planner!C31</f>
        <v>10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>
        <f t="shared" si="3"/>
        <v>0.59375</v>
      </c>
      <c r="B68" s="3">
        <f t="shared" si="1"/>
        <v>0.59375</v>
      </c>
      <c r="C68" s="3">
        <f>_xlfn.NORM.DIST($A68,$H$2,$H$5/24,FALSE)+IF(Planner!B12&gt;=2,_xlfn.NORM.DIST($A68,$H$3,$H$5/24,FALSE),0)+IF(Planner!B12&gt;=3,_xlfn.NORM.DIST($A68,$H$4,$H$5/24,FALSE),0)</f>
        <v>1.533941183</v>
      </c>
      <c r="D68" s="3">
        <f t="shared" si="2"/>
        <v>0</v>
      </c>
      <c r="E68" s="3">
        <f>MAX(0,D68*Planner!C26)</f>
        <v>0</v>
      </c>
      <c r="F68" s="3">
        <f>Planner!C31</f>
        <v>10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>
        <f t="shared" si="3"/>
        <v>0.6041666667</v>
      </c>
      <c r="B69" s="3">
        <f t="shared" si="1"/>
        <v>0.6041666667</v>
      </c>
      <c r="C69" s="3">
        <f>_xlfn.NORM.DIST($A69,$H$2,$H$5/24,FALSE)+IF(Planner!B12&gt;=2,_xlfn.NORM.DIST($A69,$H$3,$H$5/24,FALSE),0)+IF(Planner!B12&gt;=3,_xlfn.NORM.DIST($A69,$H$4,$H$5/24,FALSE),0)</f>
        <v>1.673638283</v>
      </c>
      <c r="D69" s="3">
        <f t="shared" si="2"/>
        <v>0.05172606803</v>
      </c>
      <c r="E69" s="3">
        <f>MAX(0,D69*Planner!C26)</f>
        <v>0.01034521361</v>
      </c>
      <c r="F69" s="3">
        <f>Planner!C31</f>
        <v>10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>
        <f t="shared" si="3"/>
        <v>0.6145833333</v>
      </c>
      <c r="B70" s="3">
        <f t="shared" si="1"/>
        <v>0.6145833333</v>
      </c>
      <c r="C70" s="3">
        <f>_xlfn.NORM.DIST($A70,$H$2,$H$5/24,FALSE)+IF(Planner!B12&gt;=2,_xlfn.NORM.DIST($A70,$H$3,$H$5/24,FALSE),0)+IF(Planner!B12&gt;=3,_xlfn.NORM.DIST($A70,$H$4,$H$5/24,FALSE),0)</f>
        <v>1.820184287</v>
      </c>
      <c r="D70" s="3">
        <f t="shared" si="2"/>
        <v>0.3147278578</v>
      </c>
      <c r="E70" s="3">
        <f>MAX(0,D70*Planner!C26)</f>
        <v>0.06294557156</v>
      </c>
      <c r="F70" s="3">
        <f>Planner!C31</f>
        <v>10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>
        <f t="shared" si="3"/>
        <v>0.625</v>
      </c>
      <c r="B71" s="3">
        <f t="shared" si="1"/>
        <v>0.625</v>
      </c>
      <c r="C71" s="3">
        <f>_xlfn.NORM.DIST($A71,$H$2,$H$5/24,FALSE)+IF(Planner!B12&gt;=2,_xlfn.NORM.DIST($A71,$H$3,$H$5/24,FALSE),0)+IF(Planner!B12&gt;=3,_xlfn.NORM.DIST($A71,$H$4,$H$5/24,FALSE),0)</f>
        <v>1.971220583</v>
      </c>
      <c r="D71" s="3">
        <f t="shared" si="2"/>
        <v>0.5857882407</v>
      </c>
      <c r="E71" s="3">
        <f>MAX(0,D71*Planner!C26)</f>
        <v>0.1171576481</v>
      </c>
      <c r="F71" s="3">
        <f>Planner!C31</f>
        <v>10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>
        <f t="shared" si="3"/>
        <v>0.6354166667</v>
      </c>
      <c r="B72" s="3">
        <f t="shared" si="1"/>
        <v>0.6354166667</v>
      </c>
      <c r="C72" s="3">
        <f>_xlfn.NORM.DIST($A72,$H$2,$H$5/24,FALSE)+IF(Planner!B12&gt;=2,_xlfn.NORM.DIST($A72,$H$3,$H$5/24,FALSE),0)+IF(Planner!B12&gt;=3,_xlfn.NORM.DIST($A72,$H$4,$H$5/24,FALSE),0)</f>
        <v>2.124215331</v>
      </c>
      <c r="D72" s="3">
        <f t="shared" si="2"/>
        <v>0.8603633991</v>
      </c>
      <c r="E72" s="3">
        <f>MAX(0,D72*Planner!C26)</f>
        <v>0.1720726798</v>
      </c>
      <c r="F72" s="3">
        <f>Planner!C31</f>
        <v>10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>
        <f t="shared" si="3"/>
        <v>0.6458333333</v>
      </c>
      <c r="B73" s="3">
        <f t="shared" si="1"/>
        <v>0.6458333333</v>
      </c>
      <c r="C73" s="3">
        <f>_xlfn.NORM.DIST($A73,$H$2,$H$5/24,FALSE)+IF(Planner!B12&gt;=2,_xlfn.NORM.DIST($A73,$H$3,$H$5/24,FALSE),0)+IF(Planner!B12&gt;=3,_xlfn.NORM.DIST($A73,$H$4,$H$5/24,FALSE),0)</f>
        <v>2.276502811</v>
      </c>
      <c r="D73" s="3">
        <f t="shared" si="2"/>
        <v>1.133669244</v>
      </c>
      <c r="E73" s="3">
        <f>MAX(0,D73*Planner!C26)</f>
        <v>0.2267338489</v>
      </c>
      <c r="F73" s="3">
        <f>Planner!C31</f>
        <v>10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>
        <f t="shared" si="3"/>
        <v>0.65625</v>
      </c>
      <c r="B74" s="3">
        <f t="shared" si="1"/>
        <v>0.65625</v>
      </c>
      <c r="C74" s="3">
        <f>_xlfn.NORM.DIST($A74,$H$2,$H$5/24,FALSE)+IF(Planner!B12&gt;=2,_xlfn.NORM.DIST($A74,$H$3,$H$5/24,FALSE),0)+IF(Planner!B12&gt;=3,_xlfn.NORM.DIST($A74,$H$4,$H$5/24,FALSE),0)</f>
        <v>2.425331842</v>
      </c>
      <c r="D74" s="3">
        <f t="shared" si="2"/>
        <v>1.400768313</v>
      </c>
      <c r="E74" s="3">
        <f>MAX(0,D74*Planner!C26)</f>
        <v>0.2801536627</v>
      </c>
      <c r="F74" s="3">
        <f>Planner!C31</f>
        <v>10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>
        <f t="shared" si="3"/>
        <v>0.6666666667</v>
      </c>
      <c r="B75" s="3">
        <f t="shared" si="1"/>
        <v>0.6666666667</v>
      </c>
      <c r="C75" s="3">
        <f>_xlfn.NORM.DIST($A75,$H$2,$H$5/24,FALSE)+IF(Planner!B12&gt;=2,_xlfn.NORM.DIST($A75,$H$3,$H$5/24,FALSE),0)+IF(Planner!B12&gt;=3,_xlfn.NORM.DIST($A75,$H$4,$H$5/24,FALSE),0)</f>
        <v>2.567922276</v>
      </c>
      <c r="D75" s="3">
        <f t="shared" si="2"/>
        <v>1.656671158</v>
      </c>
      <c r="E75" s="3">
        <f>MAX(0,D75*Planner!C26)</f>
        <v>0.3313342315</v>
      </c>
      <c r="F75" s="3">
        <f>Planner!C31</f>
        <v>10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>
        <f t="shared" si="3"/>
        <v>0.6770833333</v>
      </c>
      <c r="B76" s="3">
        <f t="shared" si="1"/>
        <v>0.6770833333</v>
      </c>
      <c r="C76" s="3">
        <f>_xlfn.NORM.DIST($A76,$H$2,$H$5/24,FALSE)+IF(Planner!B12&gt;=2,_xlfn.NORM.DIST($A76,$H$3,$H$5/24,FALSE),0)+IF(Planner!B12&gt;=3,_xlfn.NORM.DIST($A76,$H$4,$H$5/24,FALSE),0)</f>
        <v>2.701527968</v>
      </c>
      <c r="D76" s="3">
        <f t="shared" si="2"/>
        <v>1.89644935</v>
      </c>
      <c r="E76" s="3">
        <f>MAX(0,D76*Planner!C26)</f>
        <v>0.37928987</v>
      </c>
      <c r="F76" s="3">
        <f>Planner!C31</f>
        <v>10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>
        <f t="shared" si="3"/>
        <v>0.6875</v>
      </c>
      <c r="B77" s="3">
        <f t="shared" si="1"/>
        <v>0.6875</v>
      </c>
      <c r="C77" s="3">
        <f>_xlfn.NORM.DIST($A77,$H$2,$H$5/24,FALSE)+IF(Planner!B12&gt;=2,_xlfn.NORM.DIST($A77,$H$3,$H$5/24,FALSE),0)+IF(Planner!B12&gt;=3,_xlfn.NORM.DIST($A77,$H$4,$H$5/24,FALSE),0)</f>
        <v>2.823504076</v>
      </c>
      <c r="D77" s="3">
        <f t="shared" si="2"/>
        <v>2.11535627</v>
      </c>
      <c r="E77" s="3">
        <f>MAX(0,D77*Planner!C26)</f>
        <v>0.423071254</v>
      </c>
      <c r="F77" s="3">
        <f>Planner!C31</f>
        <v>10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>
        <f t="shared" si="3"/>
        <v>0.6979166667</v>
      </c>
      <c r="B78" s="3">
        <f t="shared" si="1"/>
        <v>0.6979166667</v>
      </c>
      <c r="C78" s="3">
        <f>_xlfn.NORM.DIST($A78,$H$2,$H$5/24,FALSE)+IF(Planner!B12&gt;=2,_xlfn.NORM.DIST($A78,$H$3,$H$5/24,FALSE),0)+IF(Planner!B12&gt;=3,_xlfn.NORM.DIST($A78,$H$4,$H$5/24,FALSE),0)</f>
        <v>2.931376128</v>
      </c>
      <c r="D78" s="3">
        <f t="shared" si="2"/>
        <v>2.308951059</v>
      </c>
      <c r="E78" s="3">
        <f>MAX(0,D78*Planner!C26)</f>
        <v>0.4617902118</v>
      </c>
      <c r="F78" s="3">
        <f>Planner!C31</f>
        <v>10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>
        <f t="shared" si="3"/>
        <v>0.7083333333</v>
      </c>
      <c r="B79" s="3">
        <f t="shared" si="1"/>
        <v>0.7083333333</v>
      </c>
      <c r="C79" s="3">
        <f>_xlfn.NORM.DIST($A79,$H$2,$H$5/24,FALSE)+IF(Planner!B12&gt;=2,_xlfn.NORM.DIST($A79,$H$3,$H$5/24,FALSE),0)+IF(Planner!B12&gt;=3,_xlfn.NORM.DIST($A79,$H$4,$H$5/24,FALSE),0)</f>
        <v>3.022907987</v>
      </c>
      <c r="D79" s="3">
        <f t="shared" si="2"/>
        <v>2.473220584</v>
      </c>
      <c r="E79" s="3">
        <f>MAX(0,D79*Planner!C26)</f>
        <v>0.4946441168</v>
      </c>
      <c r="F79" s="3">
        <f>Planner!C31</f>
        <v>10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>
        <f t="shared" si="3"/>
        <v>0.71875</v>
      </c>
      <c r="B80" s="3">
        <f t="shared" si="1"/>
        <v>0.71875</v>
      </c>
      <c r="C80" s="3">
        <f>_xlfn.NORM.DIST($A80,$H$2,$H$5/24,FALSE)+IF(Planner!B12&gt;=2,_xlfn.NORM.DIST($A80,$H$3,$H$5/24,FALSE),0)+IF(Planner!B12&gt;=3,_xlfn.NORM.DIST($A80,$H$4,$H$5/24,FALSE),0)</f>
        <v>3.0961657</v>
      </c>
      <c r="D80" s="3">
        <f t="shared" si="2"/>
        <v>2.60469404</v>
      </c>
      <c r="E80" s="3">
        <f>MAX(0,D80*Planner!C26)</f>
        <v>0.520938808</v>
      </c>
      <c r="F80" s="3">
        <f>Planner!C31</f>
        <v>10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">
        <f t="shared" si="3"/>
        <v>0.7291666667</v>
      </c>
      <c r="B81" s="3">
        <f t="shared" si="1"/>
        <v>0.7291666667</v>
      </c>
      <c r="C81" s="3">
        <f>_xlfn.NORM.DIST($A81,$H$2,$H$5/24,FALSE)+IF(Planner!B12&gt;=2,_xlfn.NORM.DIST($A81,$H$3,$H$5/24,FALSE),0)+IF(Planner!B12&gt;=3,_xlfn.NORM.DIST($A81,$H$4,$H$5/24,FALSE),0)</f>
        <v>3.149574292</v>
      </c>
      <c r="D81" s="3">
        <f t="shared" si="2"/>
        <v>2.700544863</v>
      </c>
      <c r="E81" s="3">
        <f>MAX(0,D81*Planner!C26)</f>
        <v>0.5401089726</v>
      </c>
      <c r="F81" s="3">
        <f>Planner!C31</f>
        <v>10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">
        <f t="shared" si="3"/>
        <v>0.7395833333</v>
      </c>
      <c r="B82" s="3">
        <f t="shared" si="1"/>
        <v>0.7395833333</v>
      </c>
      <c r="C82" s="3">
        <f>_xlfn.NORM.DIST($A82,$H$2,$H$5/24,FALSE)+IF(Planner!B12&gt;=2,_xlfn.NORM.DIST($A82,$H$3,$H$5/24,FALSE),0)+IF(Planner!B12&gt;=3,_xlfn.NORM.DIST($A82,$H$4,$H$5/24,FALSE),0)</f>
        <v>3.181964752</v>
      </c>
      <c r="D82" s="3">
        <f t="shared" si="2"/>
        <v>2.758675066</v>
      </c>
      <c r="E82" s="3">
        <f>MAX(0,D82*Planner!C26)</f>
        <v>0.5517350132</v>
      </c>
      <c r="F82" s="3">
        <f>Planner!C31</f>
        <v>10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">
        <f t="shared" si="3"/>
        <v>0.75</v>
      </c>
      <c r="B83" s="3">
        <f t="shared" si="1"/>
        <v>0.75</v>
      </c>
      <c r="C83" s="3">
        <f>_xlfn.NORM.DIST($A83,$H$2,$H$5/24,FALSE)+IF(Planner!B12&gt;=2,_xlfn.NORM.DIST($A83,$H$3,$H$5/24,FALSE),0)+IF(Planner!B12&gt;=3,_xlfn.NORM.DIST($A83,$H$4,$H$5/24,FALSE),0)</f>
        <v>3.192608885</v>
      </c>
      <c r="D83" s="3">
        <f t="shared" si="2"/>
        <v>2.777777778</v>
      </c>
      <c r="E83" s="3">
        <f>MAX(0,D83*Planner!C26)</f>
        <v>0.5555555556</v>
      </c>
      <c r="F83" s="3">
        <f>Planner!C31</f>
        <v>10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">
        <f t="shared" si="3"/>
        <v>0.7604166667</v>
      </c>
      <c r="B84" s="3">
        <f t="shared" si="1"/>
        <v>0.7604166667</v>
      </c>
      <c r="C84" s="3">
        <f>_xlfn.NORM.DIST($A84,$H$2,$H$5/24,FALSE)+IF(Planner!B12&gt;=2,_xlfn.NORM.DIST($A84,$H$3,$H$5/24,FALSE),0)+IF(Planner!B12&gt;=3,_xlfn.NORM.DIST($A84,$H$4,$H$5/24,FALSE),0)</f>
        <v>3.181240219</v>
      </c>
      <c r="D84" s="3">
        <f t="shared" si="2"/>
        <v>2.757374769</v>
      </c>
      <c r="E84" s="3">
        <f>MAX(0,D84*Planner!C26)</f>
        <v>0.5514749538</v>
      </c>
      <c r="F84" s="3">
        <f>Planner!C31</f>
        <v>10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">
        <f t="shared" si="3"/>
        <v>0.7708333333</v>
      </c>
      <c r="B85" s="3">
        <f t="shared" si="1"/>
        <v>0.7708333333</v>
      </c>
      <c r="C85" s="3">
        <f>_xlfn.NORM.DIST($A85,$H$2,$H$5/24,FALSE)+IF(Planner!B12&gt;=2,_xlfn.NORM.DIST($A85,$H$3,$H$5/24,FALSE),0)+IF(Planner!B12&gt;=3,_xlfn.NORM.DIST($A85,$H$4,$H$5/24,FALSE),0)</f>
        <v>3.148059833</v>
      </c>
      <c r="D85" s="3">
        <f t="shared" si="2"/>
        <v>2.697826909</v>
      </c>
      <c r="E85" s="3">
        <f>MAX(0,D85*Planner!C26)</f>
        <v>0.5395653817</v>
      </c>
      <c r="F85" s="3">
        <f>Planner!C31</f>
        <v>10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">
        <f t="shared" si="3"/>
        <v>0.78125</v>
      </c>
      <c r="B86" s="3">
        <f t="shared" si="1"/>
        <v>0.78125</v>
      </c>
      <c r="C86" s="3">
        <f>_xlfn.NORM.DIST($A86,$H$2,$H$5/24,FALSE)+IF(Planner!B12&gt;=2,_xlfn.NORM.DIST($A86,$H$3,$H$5/24,FALSE),0)+IF(Planner!B12&gt;=3,_xlfn.NORM.DIST($A86,$H$4,$H$5/24,FALSE),0)</f>
        <v>3.093726684</v>
      </c>
      <c r="D86" s="3">
        <f t="shared" si="2"/>
        <v>2.600316809</v>
      </c>
      <c r="E86" s="3">
        <f>MAX(0,D86*Planner!C26)</f>
        <v>0.5200633618</v>
      </c>
      <c r="F86" s="3">
        <f>Planner!C31</f>
        <v>10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>
        <f t="shared" si="3"/>
        <v>0.7916666667</v>
      </c>
      <c r="B87" s="3">
        <f t="shared" si="1"/>
        <v>0.7916666667</v>
      </c>
      <c r="C87" s="3">
        <f>_xlfn.NORM.DIST($A87,$H$2,$H$5/24,FALSE)+IF(Planner!B12&gt;=2,_xlfn.NORM.DIST($A87,$H$3,$H$5/24,FALSE),0)+IF(Planner!B12&gt;=3,_xlfn.NORM.DIST($A87,$H$4,$H$5/24,FALSE),0)</f>
        <v>3.019332788</v>
      </c>
      <c r="D87" s="3">
        <f t="shared" si="2"/>
        <v>2.466804281</v>
      </c>
      <c r="E87" s="3">
        <f>MAX(0,D87*Planner!C26)</f>
        <v>0.4933608563</v>
      </c>
      <c r="F87" s="3">
        <f>Planner!C31</f>
        <v>10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">
        <f t="shared" si="3"/>
        <v>0.8020833333</v>
      </c>
      <c r="B88" s="3">
        <f t="shared" si="1"/>
        <v>0.8020833333</v>
      </c>
      <c r="C88" s="3">
        <f>_xlfn.NORM.DIST($A88,$H$2,$H$5/24,FALSE)+IF(Planner!B12&gt;=2,_xlfn.NORM.DIST($A88,$H$3,$H$5/24,FALSE),0)+IF(Planner!B12&gt;=3,_xlfn.NORM.DIST($A88,$H$4,$H$5/24,FALSE),0)</f>
        <v>2.926364336</v>
      </c>
      <c r="D88" s="3">
        <f t="shared" si="2"/>
        <v>2.299956544</v>
      </c>
      <c r="E88" s="3">
        <f>MAX(0,D88*Planner!C26)</f>
        <v>0.4599913087</v>
      </c>
      <c r="F88" s="3">
        <f>Planner!C31</f>
        <v>10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">
        <f t="shared" si="3"/>
        <v>0.8125</v>
      </c>
      <c r="B89" s="3">
        <f t="shared" si="1"/>
        <v>0.8125</v>
      </c>
      <c r="C89" s="3">
        <f>_xlfn.NORM.DIST($A89,$H$2,$H$5/24,FALSE)+IF(Planner!B12&gt;=2,_xlfn.NORM.DIST($A89,$H$3,$H$5/24,FALSE),0)+IF(Planner!B12&gt;=3,_xlfn.NORM.DIST($A89,$H$4,$H$5/24,FALSE),0)</f>
        <v>2.816650484</v>
      </c>
      <c r="D89" s="3">
        <f t="shared" si="2"/>
        <v>2.103056331</v>
      </c>
      <c r="E89" s="3">
        <f>MAX(0,D89*Planner!C26)</f>
        <v>0.4206112663</v>
      </c>
      <c r="F89" s="3">
        <f>Planner!C31</f>
        <v>10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">
        <f t="shared" si="3"/>
        <v>0.8229166667</v>
      </c>
      <c r="B90" s="3">
        <f t="shared" si="1"/>
        <v>0.8229166667</v>
      </c>
      <c r="C90" s="3">
        <f>_xlfn.NORM.DIST($A90,$H$2,$H$5/24,FALSE)+IF(Planner!B12&gt;=2,_xlfn.NORM.DIST($A90,$H$3,$H$5/24,FALSE),0)+IF(Planner!B12&gt;=3,_xlfn.NORM.DIST($A90,$H$4,$H$5/24,FALSE),0)</f>
        <v>2.692302161</v>
      </c>
      <c r="D90" s="3">
        <f t="shared" si="2"/>
        <v>1.879892066</v>
      </c>
      <c r="E90" s="3">
        <f>MAX(0,D90*Planner!C26)</f>
        <v>0.3759784132</v>
      </c>
      <c r="F90" s="3">
        <f>Planner!C31</f>
        <v>10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">
        <f t="shared" si="3"/>
        <v>0.8333333333</v>
      </c>
      <c r="B91" s="3">
        <f t="shared" si="1"/>
        <v>0.8333333333</v>
      </c>
      <c r="C91" s="3">
        <f>_xlfn.NORM.DIST($A91,$H$2,$H$5/24,FALSE)+IF(Planner!B12&gt;=2,_xlfn.NORM.DIST($A91,$H$3,$H$5/24,FALSE),0)+IF(Planner!B12&gt;=3,_xlfn.NORM.DIST($A91,$H$4,$H$5/24,FALSE),0)</f>
        <v>2.555643613</v>
      </c>
      <c r="D91" s="3">
        <f t="shared" si="2"/>
        <v>1.634635003</v>
      </c>
      <c r="E91" s="3">
        <f>MAX(0,D91*Planner!C26)</f>
        <v>0.3269270005</v>
      </c>
      <c r="F91" s="3">
        <f>Planner!C31</f>
        <v>10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">
        <f t="shared" si="3"/>
        <v>0.84375</v>
      </c>
      <c r="B92" s="3">
        <f t="shared" si="1"/>
        <v>0.84375</v>
      </c>
      <c r="C92" s="3">
        <f>_xlfn.NORM.DIST($A92,$H$2,$H$5/24,FALSE)+IF(Planner!B12&gt;=2,_xlfn.NORM.DIST($A92,$H$3,$H$5/24,FALSE),0)+IF(Planner!B12&gt;=3,_xlfn.NORM.DIST($A92,$H$4,$H$5/24,FALSE),0)</f>
        <v>2.409139693</v>
      </c>
      <c r="D92" s="3">
        <f t="shared" si="2"/>
        <v>1.371708743</v>
      </c>
      <c r="E92" s="3">
        <f>MAX(0,D92*Planner!C26)</f>
        <v>0.2743417485</v>
      </c>
      <c r="F92" s="3">
        <f>Planner!C31</f>
        <v>10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">
        <f t="shared" si="3"/>
        <v>0.8541666667</v>
      </c>
      <c r="B93" s="3">
        <f t="shared" si="1"/>
        <v>0.8541666667</v>
      </c>
      <c r="C93" s="3">
        <f>_xlfn.NORM.DIST($A93,$H$2,$H$5/24,FALSE)+IF(Planner!B12&gt;=2,_xlfn.NORM.DIST($A93,$H$3,$H$5/24,FALSE),0)+IF(Planner!B12&gt;=3,_xlfn.NORM.DIST($A93,$H$4,$H$5/24,FALSE),0)</f>
        <v>2.255321993</v>
      </c>
      <c r="D93" s="3">
        <f t="shared" si="2"/>
        <v>1.095656656</v>
      </c>
      <c r="E93" s="3">
        <f>MAX(0,D93*Planner!C26)</f>
        <v>0.2191313311</v>
      </c>
      <c r="F93" s="3">
        <f>Planner!C31</f>
        <v>10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">
        <f t="shared" si="3"/>
        <v>0.8645833333</v>
      </c>
      <c r="B94" s="3">
        <f t="shared" si="1"/>
        <v>0.8645833333</v>
      </c>
      <c r="C94" s="3">
        <f>_xlfn.NORM.DIST($A94,$H$2,$H$5/24,FALSE)+IF(Planner!B12&gt;=2,_xlfn.NORM.DIST($A94,$H$3,$H$5/24,FALSE),0)+IF(Planner!B12&gt;=3,_xlfn.NORM.DIST($A94,$H$4,$H$5/24,FALSE),0)</f>
        <v>2.096716804</v>
      </c>
      <c r="D94" s="3">
        <f t="shared" si="2"/>
        <v>0.8110126033</v>
      </c>
      <c r="E94" s="3">
        <f>MAX(0,D94*Planner!C26)</f>
        <v>0.1622025207</v>
      </c>
      <c r="F94" s="3">
        <f>Planner!C31</f>
        <v>10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">
        <f t="shared" si="3"/>
        <v>0.875</v>
      </c>
      <c r="B95" s="3">
        <f t="shared" si="1"/>
        <v>0.875</v>
      </c>
      <c r="C95" s="3">
        <f>_xlfn.NORM.DIST($A95,$H$2,$H$5/24,FALSE)+IF(Planner!B12&gt;=2,_xlfn.NORM.DIST($A95,$H$3,$H$5/24,FALSE),0)+IF(Planner!B12&gt;=3,_xlfn.NORM.DIST($A95,$H$4,$H$5/24,FALSE),0)</f>
        <v>1.93577769</v>
      </c>
      <c r="D95" s="3">
        <f t="shared" si="2"/>
        <v>0.5221799257</v>
      </c>
      <c r="E95" s="3">
        <f>MAX(0,D95*Planner!C26)</f>
        <v>0.1044359851</v>
      </c>
      <c r="F95" s="3">
        <f>Planner!C31</f>
        <v>10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">
        <f t="shared" si="3"/>
        <v>0.8854166667</v>
      </c>
      <c r="B96" s="3">
        <f t="shared" si="1"/>
        <v>0.8854166667</v>
      </c>
      <c r="C96" s="3">
        <f>_xlfn.NORM.DIST($A96,$H$2,$H$5/24,FALSE)+IF(Planner!B12&gt;=2,_xlfn.NORM.DIST($A96,$H$3,$H$5/24,FALSE),0)+IF(Planner!B12&gt;=3,_xlfn.NORM.DIST($A96,$H$4,$H$5/24,FALSE),0)</f>
        <v>1.774825051</v>
      </c>
      <c r="D96" s="3">
        <f t="shared" si="2"/>
        <v>0.2333229755</v>
      </c>
      <c r="E96" s="3">
        <f>MAX(0,D96*Planner!C26)</f>
        <v>0.04666459511</v>
      </c>
      <c r="F96" s="3">
        <f>Planner!C31</f>
        <v>10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">
        <f t="shared" si="3"/>
        <v>0.8958333333</v>
      </c>
      <c r="B97" s="3">
        <f t="shared" si="1"/>
        <v>0.8958333333</v>
      </c>
      <c r="C97" s="3">
        <f>_xlfn.NORM.DIST($A97,$H$2,$H$5/24,FALSE)+IF(Planner!B12&gt;=2,_xlfn.NORM.DIST($A97,$H$3,$H$5/24,FALSE),0)+IF(Planner!B12&gt;=3,_xlfn.NORM.DIST($A97,$H$4,$H$5/24,FALSE),0)</f>
        <v>1.615994582</v>
      </c>
      <c r="D97" s="3">
        <f t="shared" si="2"/>
        <v>0</v>
      </c>
      <c r="E97" s="3">
        <f>MAX(0,D97*Planner!C26)</f>
        <v>0</v>
      </c>
      <c r="F97" s="3">
        <f>Planner!C31</f>
        <v>10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">
        <f t="shared" si="3"/>
        <v>0.90625</v>
      </c>
      <c r="B98" s="3">
        <f t="shared" si="1"/>
        <v>0.90625</v>
      </c>
      <c r="C98" s="3">
        <f>_xlfn.NORM.DIST($A98,$H$2,$H$5/24,FALSE)+IF(Planner!B12&gt;=2,_xlfn.NORM.DIST($A98,$H$3,$H$5/24,FALSE),0)+IF(Planner!B12&gt;=3,_xlfn.NORM.DIST($A98,$H$4,$H$5/24,FALSE),0)</f>
        <v>1.461195986</v>
      </c>
      <c r="D98" s="3">
        <f t="shared" si="2"/>
        <v>0</v>
      </c>
      <c r="E98" s="3">
        <f>MAX(0,D98*Planner!C26)</f>
        <v>0</v>
      </c>
      <c r="F98" s="3">
        <f>Planner!C31</f>
        <v>10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">
        <f t="shared" si="3"/>
        <v>0.9166666667</v>
      </c>
      <c r="B99" s="3">
        <f t="shared" si="1"/>
        <v>0.9166666667</v>
      </c>
      <c r="C99" s="3">
        <f>_xlfn.NORM.DIST($A99,$H$2,$H$5/24,FALSE)+IF(Planner!B12&gt;=2,_xlfn.NORM.DIST($A99,$H$3,$H$5/24,FALSE),0)+IF(Planner!B12&gt;=3,_xlfn.NORM.DIST($A99,$H$4,$H$5/24,FALSE),0)</f>
        <v>1.312082722</v>
      </c>
      <c r="D99" s="3">
        <f t="shared" si="2"/>
        <v>0</v>
      </c>
      <c r="E99" s="3">
        <f>MAX(0,D99*Planner!C26)</f>
        <v>0</v>
      </c>
      <c r="F99" s="3">
        <f>Planner!C31</f>
        <v>10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">
        <f t="shared" si="3"/>
        <v>0.9270833333</v>
      </c>
      <c r="B100" s="3">
        <f t="shared" si="1"/>
        <v>0.9270833333</v>
      </c>
      <c r="C100" s="3">
        <f>_xlfn.NORM.DIST($A100,$H$2,$H$5/24,FALSE)+IF(Planner!B12&gt;=2,_xlfn.NORM.DIST($A100,$H$3,$H$5/24,FALSE),0)+IF(Planner!B12&gt;=3,_xlfn.NORM.DIST($A100,$H$4,$H$5/24,FALSE),0)</f>
        <v>1.170032992</v>
      </c>
      <c r="D100" s="3">
        <f t="shared" si="2"/>
        <v>0</v>
      </c>
      <c r="E100" s="3">
        <f>MAX(0,D100*Planner!C26)</f>
        <v>0</v>
      </c>
      <c r="F100" s="3">
        <f>Planner!C31</f>
        <v>10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>
        <f t="shared" si="3"/>
        <v>0.9375</v>
      </c>
      <c r="B101" s="3">
        <f t="shared" si="1"/>
        <v>0.9375</v>
      </c>
      <c r="C101" s="3">
        <f>_xlfn.NORM.DIST($A101,$H$2,$H$5/24,FALSE)+IF(Planner!B12&gt;=2,_xlfn.NORM.DIST($A101,$H$3,$H$5/24,FALSE),0)+IF(Planner!B12&gt;=3,_xlfn.NORM.DIST($A101,$H$4,$H$5/24,FALSE),0)</f>
        <v>1.036141627</v>
      </c>
      <c r="D101" s="3">
        <f t="shared" si="2"/>
        <v>0</v>
      </c>
      <c r="E101" s="3">
        <f>MAX(0,D101*Planner!C26)</f>
        <v>0</v>
      </c>
      <c r="F101" s="3">
        <f>Planner!C31</f>
        <v>10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">
        <f t="shared" si="3"/>
        <v>0.9479166667</v>
      </c>
      <c r="B102" s="3">
        <f t="shared" si="1"/>
        <v>0.9479166667</v>
      </c>
      <c r="C102" s="3">
        <f>_xlfn.NORM.DIST($A102,$H$2,$H$5/24,FALSE)+IF(Planner!B12&gt;=2,_xlfn.NORM.DIST($A102,$H$3,$H$5/24,FALSE),0)+IF(Planner!B12&gt;=3,_xlfn.NORM.DIST($A102,$H$4,$H$5/24,FALSE),0)</f>
        <v>0.9112220959</v>
      </c>
      <c r="D102" s="3">
        <f t="shared" si="2"/>
        <v>0</v>
      </c>
      <c r="E102" s="3">
        <f>MAX(0,D102*Planner!C26)</f>
        <v>0</v>
      </c>
      <c r="F102" s="3">
        <f>Planner!C31</f>
        <v>10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">
        <f t="shared" si="3"/>
        <v>0.9583333333</v>
      </c>
      <c r="B103" s="3">
        <f t="shared" si="1"/>
        <v>0.9583333333</v>
      </c>
      <c r="C103" s="3">
        <f>_xlfn.NORM.DIST($A103,$H$2,$H$5/24,FALSE)+IF(Planner!B12&gt;=2,_xlfn.NORM.DIST($A103,$H$3,$H$5/24,FALSE),0)+IF(Planner!B12&gt;=3,_xlfn.NORM.DIST($A103,$H$4,$H$5/24,FALSE),0)</f>
        <v>0.7958174501</v>
      </c>
      <c r="D103" s="3">
        <f t="shared" si="2"/>
        <v>0</v>
      </c>
      <c r="E103" s="3">
        <f>MAX(0,D103*Planner!C26)</f>
        <v>0</v>
      </c>
      <c r="F103" s="3">
        <f>Planner!C31</f>
        <v>10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">
        <f t="shared" si="3"/>
        <v>0.96875</v>
      </c>
      <c r="B104" s="3">
        <f t="shared" si="1"/>
        <v>0.96875</v>
      </c>
      <c r="C104" s="3">
        <f>_xlfn.NORM.DIST($A104,$H$2,$H$5/24,FALSE)+IF(Planner!B12&gt;=2,_xlfn.NORM.DIST($A104,$H$3,$H$5/24,FALSE),0)+IF(Planner!B12&gt;=3,_xlfn.NORM.DIST($A104,$H$4,$H$5/24,FALSE),0)</f>
        <v>0.6902187618</v>
      </c>
      <c r="D104" s="3">
        <f t="shared" si="2"/>
        <v>0</v>
      </c>
      <c r="E104" s="3">
        <f>MAX(0,D104*Planner!C26)</f>
        <v>0</v>
      </c>
      <c r="F104" s="3">
        <f>Planner!C31</f>
        <v>10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">
        <f t="shared" si="3"/>
        <v>0.9791666667</v>
      </c>
      <c r="B105" s="3">
        <f t="shared" si="1"/>
        <v>0.9791666667</v>
      </c>
      <c r="C105" s="3">
        <f>_xlfn.NORM.DIST($A105,$H$2,$H$5/24,FALSE)+IF(Planner!B12&gt;=2,_xlfn.NORM.DIST($A105,$H$3,$H$5/24,FALSE),0)+IF(Planner!B12&gt;=3,_xlfn.NORM.DIST($A105,$H$4,$H$5/24,FALSE),0)</f>
        <v>0.5944894388</v>
      </c>
      <c r="D105" s="3">
        <f t="shared" si="2"/>
        <v>0</v>
      </c>
      <c r="E105" s="3">
        <f>MAX(0,D105*Planner!C26)</f>
        <v>0</v>
      </c>
      <c r="F105" s="3">
        <f>Planner!C31</f>
        <v>10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">
        <f t="shared" si="3"/>
        <v>0.9895833333</v>
      </c>
      <c r="B106" s="3">
        <f t="shared" si="1"/>
        <v>0.9895833333</v>
      </c>
      <c r="C106" s="3">
        <f>_xlfn.NORM.DIST($A106,$H$2,$H$5/24,FALSE)+IF(Planner!B12&gt;=2,_xlfn.NORM.DIST($A106,$H$3,$H$5/24,FALSE),0)+IF(Planner!B12&gt;=3,_xlfn.NORM.DIST($A106,$H$4,$H$5/24,FALSE),0)</f>
        <v>0.508493732</v>
      </c>
      <c r="D106" s="3">
        <f t="shared" si="2"/>
        <v>0</v>
      </c>
      <c r="E106" s="3">
        <f>MAX(0,D106*Planner!C26)</f>
        <v>0</v>
      </c>
      <c r="F106" s="3">
        <f>Planner!C31</f>
        <v>10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0.0</v>
      </c>
      <c r="B2" s="3">
        <f>IF(A2=0,1,(SUMPRODUCT((Engine!D$11:D$106&gt;A2)*(Engine!D$11:D$106-A2))*Engine!B$1*Engine!B$6+SUMPRODUCT((Engine!E$11:E$106&gt;A2)*(Engine!E$11:E$106-A2))*Engine!B$1*Engine!B$7)/(Engine!H$15*Engine!B$6+Engine!H$16*Engine!B$7))</f>
        <v>1</v>
      </c>
      <c r="C2" s="3">
        <f>IF(A2=0,1,(COUNTIF(Engine!D$11:D$106,"&gt;"&amp;A2)*Engine!B$6+COUNTIF(Engine!E$11:E$106,"&gt;"&amp;A2)*Engine!B$7)/(ROWS(Engine!D$11:D$106)*(Engine!B$6+Engine!B$7)))</f>
        <v>1</v>
      </c>
      <c r="D2" s="3">
        <f>IF(A2=0,0,(SUMPRODUCT((Engine!D$11:D$106&lt;=A2)*Engine!D$11:D$106 + (Engine!D$11:D$106&gt;A2)*A2)*Engine!B$1*Engine!B$6+SUMPRODUCT((Engine!E$11:E$106&lt;=A2)*Engine!E$11:E$106 + (Engine!E$11:E$106&gt;A2)*A2)*Engine!B$1*Engine!B$7)/(A2*60*24*(Engine!B$6+Engine!B$7)))</f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f t="shared" ref="A3:A22" si="1">A2+10</f>
        <v>10</v>
      </c>
      <c r="B3" s="3">
        <f>IF(A3=0,1,(SUMPRODUCT((Engine!D$11:D$106&gt;A3)*(Engine!D$11:D$106-A3))*Engine!B$1*Engine!B$6+SUMPRODUCT((Engine!E$11:E$106&gt;A3)*(Engine!E$11:E$106-A3))*Engine!B$1*Engine!B$7)/(Engine!H$15*Engine!B$6+Engine!H$16*Engine!B$7))</f>
        <v>0</v>
      </c>
      <c r="C3" s="3">
        <f>IF(A3=0,1,(COUNTIF(Engine!D$11:D$106,"&gt;"&amp;A3)*Engine!B$6+COUNTIF(Engine!E$11:E$106,"&gt;"&amp;A3)*Engine!B$7)/(ROWS(Engine!D$11:D$106)*(Engine!B$6+Engine!B$7)))</f>
        <v>0</v>
      </c>
      <c r="D3" s="3">
        <f>IF(A3=0,0,(SUMPRODUCT((Engine!D$11:D$106&lt;=A3)*Engine!D$11:D$106 + (Engine!D$11:D$106&gt;A3)*A3)*Engine!B$1*Engine!B$6+SUMPRODUCT((Engine!E$11:E$106&lt;=A3)*Engine!E$11:E$106 + (Engine!E$11:E$106&gt;A3)*A3)*Engine!B$1*Engine!B$7)/(A3*60*34*(Engine!B$6+Engine!B$7)))</f>
        <v>0.05458211876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f t="shared" si="1"/>
        <v>20</v>
      </c>
      <c r="B4" s="3">
        <f>IF(A4=0,1,(SUMPRODUCT((Engine!D$11:D$106&gt;A4)*(Engine!D$11:D$106-A4))*Engine!B$1*Engine!B$6+SUMPRODUCT((Engine!E$11:E$106&gt;A4)*(Engine!E$11:E$106-A4))*Engine!B$1*Engine!B$7)/(Engine!H$15*Engine!B$6+Engine!H$16*Engine!B$7))</f>
        <v>0</v>
      </c>
      <c r="C4" s="3">
        <f>IF(A4=0,1,(COUNTIF(Engine!D$11:D$106,"&gt;"&amp;A4)*Engine!B$6+COUNTIF(Engine!E$11:E$106,"&gt;"&amp;A4)*Engine!B$7)/(ROWS(Engine!D$11:D$106)*(Engine!B$6+Engine!B$7)))</f>
        <v>0</v>
      </c>
      <c r="D4" s="3">
        <f>IF(A4=0,0,(SUMPRODUCT((Engine!D$11:D$106&lt;=A4)*Engine!D$11:D$106 + (Engine!D$11:D$106&gt;A4)*A4)*Engine!B$1*Engine!B$6+SUMPRODUCT((Engine!E$11:E$106&lt;=A4)*Engine!E$11:E$106 + (Engine!E$11:E$106&gt;A4)*A4)*Engine!B$1*Engine!B$7)/(A4*60*44*(Engine!B$6+Engine!B$7)))</f>
        <v>0.02108854588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f t="shared" si="1"/>
        <v>30</v>
      </c>
      <c r="B5" s="3">
        <f>IF(A5=0,1,(SUMPRODUCT((Engine!D$11:D$106&gt;A5)*(Engine!D$11:D$106-A5))*Engine!B$1*Engine!B$6+SUMPRODUCT((Engine!E$11:E$106&gt;A5)*(Engine!E$11:E$106-A5))*Engine!B$1*Engine!B$7)/(Engine!H$15*Engine!B$6+Engine!H$16*Engine!B$7))</f>
        <v>0</v>
      </c>
      <c r="C5" s="3">
        <f>IF(A5=0,1,(COUNTIF(Engine!D$11:D$106,"&gt;"&amp;A5)*Engine!B$6+COUNTIF(Engine!E$11:E$106,"&gt;"&amp;A5)*Engine!B$7)/(ROWS(Engine!D$11:D$106)*(Engine!B$6+Engine!B$7)))</f>
        <v>0</v>
      </c>
      <c r="D5" s="3">
        <f>IF(A5=0,0,(SUMPRODUCT((Engine!D$11:D$106&lt;=A5)*Engine!D$11:D$106 + (Engine!D$11:D$106&gt;A5)*A5)*Engine!B$1*Engine!B$6+SUMPRODUCT((Engine!E$11:E$106&lt;=A5)*Engine!E$11:E$106 + (Engine!E$11:E$106&gt;A5)*A5)*Engine!B$1*Engine!B$7)/(A5*60*54*(Engine!B$6+Engine!B$7)))</f>
        <v>0.01145550641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f t="shared" si="1"/>
        <v>40</v>
      </c>
      <c r="B6" s="3">
        <f>IF(A6=0,1,(SUMPRODUCT((Engine!D$11:D$106&gt;A6)*(Engine!D$11:D$106-A6))*Engine!B$1*Engine!B$6+SUMPRODUCT((Engine!E$11:E$106&gt;A6)*(Engine!E$11:E$106-A6))*Engine!B$1*Engine!B$7)/(Engine!H$15*Engine!B$6+Engine!H$16*Engine!B$7))</f>
        <v>0</v>
      </c>
      <c r="C6" s="3">
        <f>IF(A6=0,1,(COUNTIF(Engine!D$11:D$106,"&gt;"&amp;A6)*Engine!B$6+COUNTIF(Engine!E$11:E$106,"&gt;"&amp;A6)*Engine!B$7)/(ROWS(Engine!D$11:D$106)*(Engine!B$6+Engine!B$7)))</f>
        <v>0</v>
      </c>
      <c r="D6" s="3">
        <f>IF(A6=0,0,(SUMPRODUCT((Engine!D$11:D$106&lt;=A6)*Engine!D$11:D$106 + (Engine!D$11:D$106&gt;A6)*A6)*Engine!B$1*Engine!B$6+SUMPRODUCT((Engine!E$11:E$106&lt;=A6)*Engine!E$11:E$106 + (Engine!E$11:E$106&gt;A6)*A6)*Engine!B$1*Engine!B$7)/(A6*60*64*(Engine!B$6+Engine!B$7)))</f>
        <v>0.007249187648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f t="shared" si="1"/>
        <v>50</v>
      </c>
      <c r="B7" s="3">
        <f>IF(A7=0,1,(SUMPRODUCT((Engine!D$11:D$106&gt;A7)*(Engine!D$11:D$106-A7))*Engine!B$1*Engine!B$6+SUMPRODUCT((Engine!E$11:E$106&gt;A7)*(Engine!E$11:E$106-A7))*Engine!B$1*Engine!B$7)/(Engine!H$15*Engine!B$6+Engine!H$16*Engine!B$7))</f>
        <v>0</v>
      </c>
      <c r="C7" s="3">
        <f>IF(A7=0,1,(COUNTIF(Engine!D$11:D$106,"&gt;"&amp;A7)*Engine!B$6+COUNTIF(Engine!E$11:E$106,"&gt;"&amp;A7)*Engine!B$7)/(ROWS(Engine!D$11:D$106)*(Engine!B$6+Engine!B$7)))</f>
        <v>0</v>
      </c>
      <c r="D7" s="3">
        <f>IF(A7=0,0,(SUMPRODUCT((Engine!D$11:D$106&lt;=A7)*Engine!D$11:D$106 + (Engine!D$11:D$106&gt;A7)*A7)*Engine!B$1*Engine!B$6+SUMPRODUCT((Engine!E$11:E$106&lt;=A7)*Engine!E$11:E$106 + (Engine!E$11:E$106&gt;A7)*A7)*Engine!B$1*Engine!B$7)/(A7*60*74*(Engine!B$6+Engine!B$7)))</f>
        <v>0.005015654156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f t="shared" si="1"/>
        <v>60</v>
      </c>
      <c r="B8" s="3">
        <f>IF(A8=0,1,(SUMPRODUCT((Engine!D$11:D$106&gt;A8)*(Engine!D$11:D$106-A8))*Engine!B$1*Engine!B$6+SUMPRODUCT((Engine!E$11:E$106&gt;A8)*(Engine!E$11:E$106-A8))*Engine!B$1*Engine!B$7)/(Engine!H$15*Engine!B$6+Engine!H$16*Engine!B$7))</f>
        <v>0</v>
      </c>
      <c r="C8" s="3">
        <f>IF(A8=0,1,(COUNTIF(Engine!D$11:D$106,"&gt;"&amp;A8)*Engine!B$6+COUNTIF(Engine!E$11:E$106,"&gt;"&amp;A8)*Engine!B$7)/(ROWS(Engine!D$11:D$106)*(Engine!B$6+Engine!B$7)))</f>
        <v>0</v>
      </c>
      <c r="D8" s="3">
        <f>IF(A8=0,0,(SUMPRODUCT((Engine!D$11:D$106&lt;=A8)*Engine!D$11:D$106 + (Engine!D$11:D$106&gt;A8)*A8)*Engine!B$1*Engine!B$6+SUMPRODUCT((Engine!E$11:E$106&lt;=A8)*Engine!E$11:E$106 + (Engine!E$11:E$106&gt;A8)*A8)*Engine!B$1*Engine!B$7)/(A8*60*84*(Engine!B$6+Engine!B$7)))</f>
        <v>0.003682127059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f t="shared" si="1"/>
        <v>70</v>
      </c>
      <c r="B9" s="3">
        <f>IF(A9=0,1,(SUMPRODUCT((Engine!D$11:D$106&gt;A9)*(Engine!D$11:D$106-A9))*Engine!B$1*Engine!B$6+SUMPRODUCT((Engine!E$11:E$106&gt;A9)*(Engine!E$11:E$106-A9))*Engine!B$1*Engine!B$7)/(Engine!H$15*Engine!B$6+Engine!H$16*Engine!B$7))</f>
        <v>0</v>
      </c>
      <c r="C9" s="3">
        <f>IF(A9=0,1,(COUNTIF(Engine!D$11:D$106,"&gt;"&amp;A9)*Engine!B$6+COUNTIF(Engine!E$11:E$106,"&gt;"&amp;A9)*Engine!B$7)/(ROWS(Engine!D$11:D$106)*(Engine!B$6+Engine!B$7)))</f>
        <v>0</v>
      </c>
      <c r="D9" s="3">
        <f>IF(A9=0,0,(SUMPRODUCT((Engine!D$11:D$106&lt;=A9)*Engine!D$11:D$106 + (Engine!D$11:D$106&gt;A9)*A9)*Engine!B$1*Engine!B$6+SUMPRODUCT((Engine!E$11:E$106&lt;=A9)*Engine!E$11:E$106 + (Engine!E$11:E$106&gt;A9)*A9)*Engine!B$1*Engine!B$7)/(A9*60*94*(Engine!B$6+Engine!B$7)))</f>
        <v>0.002820352641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f t="shared" si="1"/>
        <v>80</v>
      </c>
      <c r="B10" s="3">
        <f>IF(A10=0,1,(SUMPRODUCT((Engine!D$11:D$106&gt;A10)*(Engine!D$11:D$106-A10))*Engine!B$1*Engine!B$6+SUMPRODUCT((Engine!E$11:E$106&gt;A10)*(Engine!E$11:E$106-A10))*Engine!B$1*Engine!B$7)/(Engine!H$15*Engine!B$6+Engine!H$16*Engine!B$7))</f>
        <v>0</v>
      </c>
      <c r="C10" s="3">
        <f>IF(A10=0,1,(COUNTIF(Engine!D$11:D$106,"&gt;"&amp;A10)*Engine!B$6+COUNTIF(Engine!E$11:E$106,"&gt;"&amp;A10)*Engine!B$7)/(ROWS(Engine!D$11:D$106)*(Engine!B$6+Engine!B$7)))</f>
        <v>0</v>
      </c>
      <c r="D10" s="3">
        <f>IF(A10=0,0,(SUMPRODUCT((Engine!D$11:D$106&lt;=A10)*Engine!D$11:D$106 + (Engine!D$11:D$106&gt;A10)*A10)*Engine!B$1*Engine!B$6+SUMPRODUCT((Engine!E$11:E$106&lt;=A10)*Engine!E$11:E$106 + (Engine!E$11:E$106&gt;A10)*A10)*Engine!B$1*Engine!B$7)/(A10*60*104*(Engine!B$6+Engine!B$7)))</f>
        <v>0.002230519276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f t="shared" si="1"/>
        <v>90</v>
      </c>
      <c r="B11" s="3">
        <f>IF(A11=0,1,(SUMPRODUCT((Engine!D$11:D$106&gt;A11)*(Engine!D$11:D$106-A11))*Engine!B$1*Engine!B$6+SUMPRODUCT((Engine!E$11:E$106&gt;A11)*(Engine!E$11:E$106-A11))*Engine!B$1*Engine!B$7)/(Engine!H$15*Engine!B$6+Engine!H$16*Engine!B$7))</f>
        <v>0</v>
      </c>
      <c r="C11" s="3">
        <f>IF(A11=0,1,(COUNTIF(Engine!D$11:D$106,"&gt;"&amp;A11)*Engine!B$6+COUNTIF(Engine!E$11:E$106,"&gt;"&amp;A11)*Engine!B$7)/(ROWS(Engine!D$11:D$106)*(Engine!B$6+Engine!B$7)))</f>
        <v>0</v>
      </c>
      <c r="D11" s="3">
        <f>IF(A11=0,0,(SUMPRODUCT((Engine!D$11:D$106&lt;=A11)*Engine!D$11:D$106 + (Engine!D$11:D$106&gt;A11)*A11)*Engine!B$1*Engine!B$6+SUMPRODUCT((Engine!E$11:E$106&lt;=A11)*Engine!E$11:E$106 + (Engine!E$11:E$106&gt;A11)*A11)*Engine!B$1*Engine!B$7)/(A11*60*114*(Engine!B$6+Engine!B$7)))</f>
        <v>0.001808764169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f t="shared" si="1"/>
        <v>100</v>
      </c>
      <c r="B12" s="3">
        <f>IF(A12=0,1,(SUMPRODUCT((Engine!D$11:D$106&gt;A12)*(Engine!D$11:D$106-A12))*Engine!B$1*Engine!B$6+SUMPRODUCT((Engine!E$11:E$106&gt;A12)*(Engine!E$11:E$106-A12))*Engine!B$1*Engine!B$7)/(Engine!H$15*Engine!B$6+Engine!H$16*Engine!B$7))</f>
        <v>0</v>
      </c>
      <c r="C12" s="3">
        <f>IF(A12=0,1,(COUNTIF(Engine!D$11:D$106,"&gt;"&amp;A12)*Engine!B$6+COUNTIF(Engine!E$11:E$106,"&gt;"&amp;A12)*Engine!B$7)/(ROWS(Engine!D$11:D$106)*(Engine!B$6+Engine!B$7)))</f>
        <v>0</v>
      </c>
      <c r="D12" s="3">
        <f>IF(A12=0,0,(SUMPRODUCT((Engine!D$11:D$106&lt;=A12)*Engine!D$11:D$106 + (Engine!D$11:D$106&gt;A12)*A12)*Engine!B$1*Engine!B$6+SUMPRODUCT((Engine!E$11:E$106&lt;=A12)*Engine!E$11:E$106 + (Engine!E$11:E$106&gt;A12)*A12)*Engine!B$1*Engine!B$7)/(A12*60*124*(Engine!B$6+Engine!B$7)))</f>
        <v>0.001496606482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f t="shared" si="1"/>
        <v>110</v>
      </c>
      <c r="B13" s="3">
        <f>IF(A13=0,1,(SUMPRODUCT((Engine!D$11:D$106&gt;A13)*(Engine!D$11:D$106-A13))*Engine!B$1*Engine!B$6+SUMPRODUCT((Engine!E$11:E$106&gt;A13)*(Engine!E$11:E$106-A13))*Engine!B$1*Engine!B$7)/(Engine!H$15*Engine!B$6+Engine!H$16*Engine!B$7))</f>
        <v>0</v>
      </c>
      <c r="C13" s="3">
        <f>IF(A13=0,1,(COUNTIF(Engine!D$11:D$106,"&gt;"&amp;A13)*Engine!B$6+COUNTIF(Engine!E$11:E$106,"&gt;"&amp;A13)*Engine!B$7)/(ROWS(Engine!D$11:D$106)*(Engine!B$6+Engine!B$7)))</f>
        <v>0</v>
      </c>
      <c r="D13" s="3">
        <f>IF(A13=0,0,(SUMPRODUCT((Engine!D$11:D$106&lt;=A13)*Engine!D$11:D$106 + (Engine!D$11:D$106&gt;A13)*A13)*Engine!B$1*Engine!B$6+SUMPRODUCT((Engine!E$11:E$106&lt;=A13)*Engine!E$11:E$106 + (Engine!E$11:E$106&gt;A13)*A13)*Engine!B$1*Engine!B$7)/(A13*60*134*(Engine!B$6+Engine!B$7)))</f>
        <v>0.001259017665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f t="shared" si="1"/>
        <v>120</v>
      </c>
      <c r="B14" s="3">
        <f>IF(A14=0,1,(SUMPRODUCT((Engine!D$11:D$106&gt;A14)*(Engine!D$11:D$106-A14))*Engine!B$1*Engine!B$6+SUMPRODUCT((Engine!E$11:E$106&gt;A14)*(Engine!E$11:E$106-A14))*Engine!B$1*Engine!B$7)/(Engine!H$15*Engine!B$6+Engine!H$16*Engine!B$7))</f>
        <v>0</v>
      </c>
      <c r="C14" s="3">
        <f>IF(A14=0,1,(COUNTIF(Engine!D$11:D$106,"&gt;"&amp;A14)*Engine!B$6+COUNTIF(Engine!E$11:E$106,"&gt;"&amp;A14)*Engine!B$7)/(ROWS(Engine!D$11:D$106)*(Engine!B$6+Engine!B$7)))</f>
        <v>0</v>
      </c>
      <c r="D14" s="3">
        <f>IF(A14=0,0,(SUMPRODUCT((Engine!D$11:D$106&lt;=A14)*Engine!D$11:D$106 + (Engine!D$11:D$106&gt;A14)*A14)*Engine!B$1*Engine!B$6+SUMPRODUCT((Engine!E$11:E$106&lt;=A14)*Engine!E$11:E$106 + (Engine!E$11:E$106&gt;A14)*A14)*Engine!B$1*Engine!B$7)/(A14*60*144*(Engine!B$6+Engine!B$7)))</f>
        <v>0.001073953726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f t="shared" si="1"/>
        <v>130</v>
      </c>
      <c r="B15" s="3">
        <f>IF(A15=0,1,(SUMPRODUCT((Engine!D$11:D$106&gt;A15)*(Engine!D$11:D$106-A15))*Engine!B$1*Engine!B$6+SUMPRODUCT((Engine!E$11:E$106&gt;A15)*(Engine!E$11:E$106-A15))*Engine!B$1*Engine!B$7)/(Engine!H$15*Engine!B$6+Engine!H$16*Engine!B$7))</f>
        <v>0</v>
      </c>
      <c r="C15" s="3">
        <f>IF(A15=0,1,(COUNTIF(Engine!D$11:D$106,"&gt;"&amp;A15)*Engine!B$6+COUNTIF(Engine!E$11:E$106,"&gt;"&amp;A15)*Engine!B$7)/(ROWS(Engine!D$11:D$106)*(Engine!B$6+Engine!B$7)))</f>
        <v>0</v>
      </c>
      <c r="D15" s="3">
        <f>IF(A15=0,0,(SUMPRODUCT((Engine!D$11:D$106&lt;=A15)*Engine!D$11:D$106 + (Engine!D$11:D$106&gt;A15)*A15)*Engine!B$1*Engine!B$6+SUMPRODUCT((Engine!E$11:E$106&lt;=A15)*Engine!E$11:E$106 + (Engine!E$11:E$106&gt;A15)*A15)*Engine!B$1*Engine!B$7)/(A15*60*154*(Engine!B$6+Engine!B$7)))</f>
        <v>0.0009269690498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f t="shared" si="1"/>
        <v>140</v>
      </c>
      <c r="B16" s="3">
        <f>IF(A16=0,1,(SUMPRODUCT((Engine!D$11:D$106&gt;A16)*(Engine!D$11:D$106-A16))*Engine!B$1*Engine!B$6+SUMPRODUCT((Engine!E$11:E$106&gt;A16)*(Engine!E$11:E$106-A16))*Engine!B$1*Engine!B$7)/(Engine!H$15*Engine!B$6+Engine!H$16*Engine!B$7))</f>
        <v>0</v>
      </c>
      <c r="C16" s="3">
        <f>IF(A16=0,1,(COUNTIF(Engine!D$11:D$106,"&gt;"&amp;A16)*Engine!B$6+COUNTIF(Engine!E$11:E$106,"&gt;"&amp;A16)*Engine!B$7)/(ROWS(Engine!D$11:D$106)*(Engine!B$6+Engine!B$7)))</f>
        <v>0</v>
      </c>
      <c r="D16" s="3">
        <f>IF(A16=0,0,(SUMPRODUCT((Engine!D$11:D$106&lt;=A16)*Engine!D$11:D$106 + (Engine!D$11:D$106&gt;A16)*A16)*Engine!B$1*Engine!B$6+SUMPRODUCT((Engine!E$11:E$106&lt;=A16)*Engine!E$11:E$106 + (Engine!E$11:E$106&gt;A16)*A16)*Engine!B$1*Engine!B$7)/(A16*60*164*(Engine!B$6+Engine!B$7)))</f>
        <v>0.0008082717935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f t="shared" si="1"/>
        <v>150</v>
      </c>
      <c r="B17" s="3">
        <f>IF(A17=0,1,(SUMPRODUCT((Engine!D$11:D$106&gt;A17)*(Engine!D$11:D$106-A17))*Engine!B$1*Engine!B$6+SUMPRODUCT((Engine!E$11:E$106&gt;A17)*(Engine!E$11:E$106-A17))*Engine!B$1*Engine!B$7)/(Engine!H$15*Engine!B$6+Engine!H$16*Engine!B$7))</f>
        <v>0</v>
      </c>
      <c r="C17" s="3">
        <f>IF(A17=0,1,(COUNTIF(Engine!D$11:D$106,"&gt;"&amp;A17)*Engine!B$6+COUNTIF(Engine!E$11:E$106,"&gt;"&amp;A17)*Engine!B$7)/(ROWS(Engine!D$11:D$106)*(Engine!B$6+Engine!B$7)))</f>
        <v>0</v>
      </c>
      <c r="D17" s="3">
        <f>IF(A17=0,0,(SUMPRODUCT((Engine!D$11:D$106&lt;=A17)*Engine!D$11:D$106 + (Engine!D$11:D$106&gt;A17)*A17)*Engine!B$1*Engine!B$6+SUMPRODUCT((Engine!E$11:E$106&lt;=A17)*Engine!E$11:E$106 + (Engine!E$11:E$106&gt;A17)*A17)*Engine!B$1*Engine!B$7)/(A17*60*174*(Engine!B$6+Engine!B$7)))</f>
        <v>0.0007110314321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f t="shared" si="1"/>
        <v>160</v>
      </c>
      <c r="B18" s="3">
        <f>IF(A18=0,1,(SUMPRODUCT((Engine!D$11:D$106&gt;A18)*(Engine!D$11:D$106-A18))*Engine!B$1*Engine!B$6+SUMPRODUCT((Engine!E$11:E$106&gt;A18)*(Engine!E$11:E$106-A18))*Engine!B$1*Engine!B$7)/(Engine!H$15*Engine!B$6+Engine!H$16*Engine!B$7))</f>
        <v>0</v>
      </c>
      <c r="C18" s="3">
        <f>IF(A18=0,1,(COUNTIF(Engine!D$11:D$106,"&gt;"&amp;A18)*Engine!B$6+COUNTIF(Engine!E$11:E$106,"&gt;"&amp;A18)*Engine!B$7)/(ROWS(Engine!D$11:D$106)*(Engine!B$6+Engine!B$7)))</f>
        <v>0</v>
      </c>
      <c r="D18" s="3">
        <f>IF(A18=0,0,(SUMPRODUCT((Engine!D$11:D$106&lt;=A18)*Engine!D$11:D$106 + (Engine!D$11:D$106&gt;A18)*A18)*Engine!B$1*Engine!B$6+SUMPRODUCT((Engine!E$11:E$106&lt;=A18)*Engine!E$11:E$106 + (Engine!E$11:E$106&gt;A18)*A18)*Engine!B$1*Engine!B$7)/(A18*60*184*(Engine!B$6+Engine!B$7)))</f>
        <v>0.0006303641433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f t="shared" si="1"/>
        <v>170</v>
      </c>
      <c r="B19" s="3">
        <f>IF(A19=0,1,(SUMPRODUCT((Engine!D$11:D$106&gt;A19)*(Engine!D$11:D$106-A19))*Engine!B$1*Engine!B$6+SUMPRODUCT((Engine!E$11:E$106&gt;A19)*(Engine!E$11:E$106-A19))*Engine!B$1*Engine!B$7)/(Engine!H$15*Engine!B$6+Engine!H$16*Engine!B$7))</f>
        <v>0</v>
      </c>
      <c r="C19" s="3">
        <f>IF(A19=0,1,(COUNTIF(Engine!D$11:D$106,"&gt;"&amp;A19)*Engine!B$6+COUNTIF(Engine!E$11:E$106,"&gt;"&amp;A19)*Engine!B$7)/(ROWS(Engine!D$11:D$106)*(Engine!B$6+Engine!B$7)))</f>
        <v>0</v>
      </c>
      <c r="D19" s="3">
        <f>IF(A19=0,0,(SUMPRODUCT((Engine!D$11:D$106&lt;=A19)*Engine!D$11:D$106 + (Engine!D$11:D$106&gt;A19)*A19)*Engine!B$1*Engine!B$6+SUMPRODUCT((Engine!E$11:E$106&lt;=A19)*Engine!E$11:E$106 + (Engine!E$11:E$106&gt;A19)*A19)*Engine!B$1*Engine!B$7)/(A19*60*194*(Engine!B$6+Engine!B$7)))</f>
        <v>0.0005627022552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f t="shared" si="1"/>
        <v>180</v>
      </c>
      <c r="B20" s="3">
        <f>IF(A20=0,1,(SUMPRODUCT((Engine!D$11:D$106&gt;A20)*(Engine!D$11:D$106-A20))*Engine!B$1*Engine!B$6+SUMPRODUCT((Engine!E$11:E$106&gt;A20)*(Engine!E$11:E$106-A20))*Engine!B$1*Engine!B$7)/(Engine!H$15*Engine!B$6+Engine!H$16*Engine!B$7))</f>
        <v>0</v>
      </c>
      <c r="C20" s="3">
        <f>IF(A20=0,1,(COUNTIF(Engine!D$11:D$106,"&gt;"&amp;A20)*Engine!B$6+COUNTIF(Engine!E$11:E$106,"&gt;"&amp;A20)*Engine!B$7)/(ROWS(Engine!D$11:D$106)*(Engine!B$6+Engine!B$7)))</f>
        <v>0</v>
      </c>
      <c r="D20" s="3">
        <f>IF(A20=0,0,(SUMPRODUCT((Engine!D$11:D$106&lt;=A20)*Engine!D$11:D$106 + (Engine!D$11:D$106&gt;A20)*A20)*Engine!B$1*Engine!B$6+SUMPRODUCT((Engine!E$11:E$106&lt;=A20)*Engine!E$11:E$106 + (Engine!E$11:E$106&gt;A20)*A20)*Engine!B$1*Engine!B$7)/(A20*60*204*(Engine!B$6+Engine!B$7)))</f>
        <v>0.0005053899885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f t="shared" si="1"/>
        <v>190</v>
      </c>
      <c r="B21" s="3">
        <f>IF(A21=0,1,(SUMPRODUCT((Engine!D$11:D$106&gt;A21)*(Engine!D$11:D$106-A21))*Engine!B$1*Engine!B$6+SUMPRODUCT((Engine!E$11:E$106&gt;A21)*(Engine!E$11:E$106-A21))*Engine!B$1*Engine!B$7)/(Engine!H$15*Engine!B$6+Engine!H$16*Engine!B$7))</f>
        <v>0</v>
      </c>
      <c r="C21" s="3">
        <f>IF(A21=0,1,(COUNTIF(Engine!D$11:D$106,"&gt;"&amp;A21)*Engine!B$6+COUNTIF(Engine!E$11:E$106,"&gt;"&amp;A21)*Engine!B$7)/(ROWS(Engine!D$11:D$106)*(Engine!B$6+Engine!B$7)))</f>
        <v>0</v>
      </c>
      <c r="D21" s="3">
        <f>IF(A21=0,0,(SUMPRODUCT((Engine!D$11:D$106&lt;=A21)*Engine!D$11:D$106 + (Engine!D$11:D$106&gt;A21)*A21)*Engine!B$1*Engine!B$6+SUMPRODUCT((Engine!E$11:E$106&lt;=A21)*Engine!E$11:E$106 + (Engine!E$11:E$106&gt;A21)*A21)*Engine!B$1*Engine!B$7)/(A21*60*214*(Engine!B$6+Engine!B$7)))</f>
        <v>0.0004564171269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>
        <f t="shared" si="1"/>
        <v>200</v>
      </c>
      <c r="B22" s="3">
        <f>IF(A22=0,1,(SUMPRODUCT((Engine!D$11:D$106&gt;A22)*(Engine!D$11:D$106-A22))*Engine!B$1*Engine!B$6+SUMPRODUCT((Engine!E$11:E$106&gt;A22)*(Engine!E$11:E$106-A22))*Engine!B$1*Engine!B$7)/(Engine!H$15*Engine!B$6+Engine!H$16*Engine!B$7))</f>
        <v>0</v>
      </c>
      <c r="C22" s="3">
        <f>IF(A22=0,1,(COUNTIF(Engine!D$11:D$106,"&gt;"&amp;A22)*Engine!B$6+COUNTIF(Engine!E$11:E$106,"&gt;"&amp;A22)*Engine!B$7)/(ROWS(Engine!D$11:D$106)*(Engine!B$6+Engine!B$7)))</f>
        <v>0</v>
      </c>
      <c r="D22" s="3">
        <f>IF(A22=0,0,(SUMPRODUCT((Engine!D$11:D$106&lt;=A22)*Engine!D$11:D$106 + (Engine!D$11:D$106&gt;A22)*A22)*Engine!B$1*Engine!B$6+SUMPRODUCT((Engine!E$11:E$106&lt;=A22)*Engine!E$11:E$106 + (Engine!E$11:E$106&gt;A22)*A22)*Engine!B$1*Engine!B$7)/(A22*60*224*(Engine!B$6+Engine!B$7)))</f>
        <v>0.0004142392941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6" max="6" width="18.13"/>
  </cols>
  <sheetData>
    <row r="1" ht="35.25" customHeight="1">
      <c r="A1" s="8" t="s">
        <v>32</v>
      </c>
      <c r="B1" s="9"/>
      <c r="C1" s="10"/>
    </row>
    <row r="2">
      <c r="A2" s="11" t="s">
        <v>33</v>
      </c>
      <c r="B2" s="12"/>
      <c r="C2" s="10"/>
    </row>
    <row r="3">
      <c r="A3" s="11" t="s">
        <v>34</v>
      </c>
      <c r="B3" s="13">
        <v>100.0</v>
      </c>
      <c r="C3" s="10"/>
    </row>
    <row r="4">
      <c r="A4" s="11" t="s">
        <v>36</v>
      </c>
      <c r="B4" s="13">
        <v>600.0</v>
      </c>
      <c r="C4" s="10"/>
    </row>
    <row r="5">
      <c r="A5" s="11" t="s">
        <v>37</v>
      </c>
      <c r="B5" s="13">
        <v>10.0</v>
      </c>
      <c r="C5" s="10"/>
    </row>
    <row r="6">
      <c r="A6" s="11" t="s">
        <v>38</v>
      </c>
      <c r="B6" s="13">
        <v>10.0</v>
      </c>
      <c r="C6" s="10"/>
    </row>
    <row r="7">
      <c r="A7" s="11" t="s">
        <v>39</v>
      </c>
      <c r="B7" s="13">
        <v>10.0</v>
      </c>
      <c r="C7" s="10"/>
    </row>
    <row r="8">
      <c r="A8" s="11" t="s">
        <v>40</v>
      </c>
      <c r="B8" s="14">
        <v>1.0</v>
      </c>
      <c r="C8" s="10"/>
    </row>
    <row r="9">
      <c r="A9" s="11" t="s">
        <v>41</v>
      </c>
      <c r="B9" s="14">
        <v>0.99</v>
      </c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5" t="s">
        <v>42</v>
      </c>
      <c r="C12" s="10"/>
    </row>
    <row r="13">
      <c r="A13" s="16" t="s">
        <v>43</v>
      </c>
      <c r="B13" s="17">
        <f>B8*B3*B7/60</f>
        <v>16.66666667</v>
      </c>
      <c r="C13" s="10"/>
    </row>
    <row r="14">
      <c r="A14" s="16" t="s">
        <v>44</v>
      </c>
      <c r="B14" s="17">
        <f>(B4-B3)/NORMINV(B9, 0, 1)</f>
        <v>214.9291624</v>
      </c>
      <c r="C14" s="10"/>
    </row>
    <row r="15">
      <c r="A15" s="16" t="s">
        <v>46</v>
      </c>
      <c r="B15" s="17">
        <f>B14/SQRT(60)</f>
        <v>27.74723555</v>
      </c>
      <c r="C15" s="10"/>
    </row>
    <row r="16">
      <c r="A16" s="16" t="s">
        <v>47</v>
      </c>
      <c r="B16" s="17">
        <f>B13+B15*NORMINV(B9,0,1)</f>
        <v>81.2163891</v>
      </c>
      <c r="C16" s="10"/>
      <c r="F16" s="18" t="s">
        <v>48</v>
      </c>
    </row>
    <row r="17">
      <c r="A17" s="10"/>
      <c r="B17" s="10"/>
      <c r="C17" s="10"/>
      <c r="F17" s="19" t="s">
        <v>49</v>
      </c>
    </row>
    <row r="18">
      <c r="A18" s="15" t="s">
        <v>50</v>
      </c>
      <c r="C18" s="10"/>
      <c r="F18" s="20" t="s">
        <v>51</v>
      </c>
    </row>
    <row r="19">
      <c r="A19" s="16" t="s">
        <v>52</v>
      </c>
      <c r="C19" s="10"/>
    </row>
    <row r="20">
      <c r="A20" s="16" t="s">
        <v>53</v>
      </c>
      <c r="B20" s="16" t="s">
        <v>54</v>
      </c>
      <c r="C20" s="16" t="s">
        <v>55</v>
      </c>
      <c r="F20" s="2" t="s">
        <v>56</v>
      </c>
    </row>
    <row r="21">
      <c r="A21" s="16" t="s">
        <v>57</v>
      </c>
      <c r="B21" s="21">
        <v>35.0</v>
      </c>
      <c r="C21" s="22">
        <f>B16*60/B21</f>
        <v>139.2280956</v>
      </c>
    </row>
    <row r="22">
      <c r="A22" s="16" t="s">
        <v>58</v>
      </c>
      <c r="B22" s="21">
        <v>60.0</v>
      </c>
      <c r="C22" s="22">
        <f>B16*60/B22</f>
        <v>81.2163891</v>
      </c>
    </row>
    <row r="23">
      <c r="A23" s="16" t="s">
        <v>59</v>
      </c>
      <c r="B23" s="21">
        <v>65.0</v>
      </c>
      <c r="C23" s="22">
        <f>B16*60/B23</f>
        <v>74.96897456</v>
      </c>
    </row>
  </sheetData>
  <mergeCells count="4">
    <mergeCell ref="A1:B1"/>
    <mergeCell ref="A12:B12"/>
    <mergeCell ref="A18:B18"/>
    <mergeCell ref="A19:B19"/>
  </mergeCells>
  <drawing r:id="rId1"/>
</worksheet>
</file>